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ummary" sheetId="2" state="visible" r:id="rId2"/>
    <sheet xmlns:r="http://schemas.openxmlformats.org/officeDocument/2006/relationships" name="Concepts" sheetId="3" state="visible" r:id="rId3"/>
    <sheet xmlns:r="http://schemas.openxmlformats.org/officeDocument/2006/relationships" name="Resourc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F5D8A"/>
      <sz val="18"/>
    </font>
    <font>
      <name val="Arial"/>
      <color rgb="005E666C"/>
      <sz val="11"/>
    </font>
    <font>
      <name val="Arial"/>
      <sz val="10"/>
    </font>
    <font>
      <name val="Arial"/>
      <b val="1"/>
      <sz val="12"/>
    </font>
    <font>
      <name val="Arial"/>
      <b val="1"/>
      <color rgb="00FFFFFF"/>
    </font>
    <font>
      <name val="Arial"/>
      <color rgb="002F5D8A"/>
      <sz val="10"/>
      <u val="single"/>
    </font>
    <font>
      <name val="Arial"/>
      <b val="1"/>
      <sz val="13"/>
    </font>
    <font>
      <name val="Arial"/>
      <b val="1"/>
    </font>
  </fonts>
  <fills count="3">
    <fill>
      <patternFill/>
    </fill>
    <fill>
      <patternFill patternType="gray125"/>
    </fill>
    <fill>
      <patternFill patternType="solid">
        <fgColor rgb="002F5D8A"/>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pivotButton="0" quotePrefix="0" xfId="0"/>
    <xf numFmtId="0" fontId="3" fillId="0" borderId="0" pivotButton="0" quotePrefix="0" xfId="0"/>
    <xf numFmtId="0" fontId="5" fillId="2" borderId="0" pivotButton="0" quotePrefix="0" xfId="0"/>
    <xf numFmtId="0" fontId="8" fillId="0" borderId="0" pivotButton="0" quotePrefix="0" xfId="0"/>
    <xf numFmtId="0" fontId="5" fillId="2" borderId="0" applyAlignment="1" pivotButton="0" quotePrefix="0" xfId="0">
      <alignment vertical="center" wrapText="1"/>
    </xf>
    <xf numFmtId="0" fontId="3" fillId="0" borderId="0" applyAlignment="1" pivotButton="0" quotePrefix="0" xfId="0">
      <alignment vertical="top"/>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oncepts" displayName="Concepts" ref="A1:T174" headerRowCount="1">
  <autoFilter ref="A1:T174"/>
  <tableColumns count="20">
    <tableColumn id="1" name="No."/>
    <tableColumn id="2" name="Concept"/>
    <tableColumn id="3" name="Alias"/>
    <tableColumn id="4" name="Category"/>
    <tableColumn id="5" name="Since"/>
    <tableColumn id="6" name="Active until"/>
    <tableColumn id="7" name="Status"/>
    <tableColumn id="8" name="Level"/>
    <tableColumn id="9" name="Foundational"/>
    <tableColumn id="10" name="Production practice"/>
    <tableColumn id="11" name="Research frontier"/>
    <tableColumn id="12" name="Open source / open weights"/>
    <tableColumn id="13" name="Open standard"/>
    <tableColumn id="14" name="Enterprise"/>
    <tableColumn id="15" name="Security"/>
    <tableColumn id="16" name="Cost &amp; efficiency"/>
    <tableColumn id="17" name="Definition"/>
    <tableColumn id="18" name="Key points"/>
    <tableColumn id="19" name="State of the art (Sept 2026)"/>
    <tableColumn id="20" name="Resources"/>
  </tableColumns>
  <tableStyleInfo name="TableStyleLight9" showRowStripes="1"/>
</table>
</file>

<file path=xl/tables/table2.xml><?xml version="1.0" encoding="utf-8"?>
<table xmlns="http://schemas.openxmlformats.org/spreadsheetml/2006/main" id="2" name="Resources" displayName="Resources" ref="A1:I431" headerRowCount="1">
  <autoFilter ref="A1:I431"/>
  <tableColumns count="9">
    <tableColumn id="1" name="Year"/>
    <tableColumn id="2" name="Type"/>
    <tableColumn id="3" name="Resource"/>
    <tableColumn id="4" name="URL"/>
    <tableColumn id="5" name="Concept"/>
    <tableColumn id="6" name="Category"/>
    <tableColumn id="7" name="Concept since"/>
    <tableColumn id="8" name="Level"/>
    <tableColumn id="9" name="Statu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hyperlink" Target="https://www.anthropic.com/glasswing" TargetMode="External" Id="rId1"/><Relationship Type="http://schemas.openxmlformats.org/officeDocument/2006/relationships/hyperlink" Target="https://www.anthropic.com/news/fable-mythos-access" TargetMode="External" Id="rId2"/><Relationship Type="http://schemas.openxmlformats.org/officeDocument/2006/relationships/hyperlink" Target="https://datanorth.ai/news/anthropic-releases-claude-fable-5-and-mythos-5" TargetMode="External" Id="rId3"/><Relationship Type="http://schemas.openxmlformats.org/officeDocument/2006/relationships/hyperlink" Target="https://openai.com/index/path-to-astra/" TargetMode="External" Id="rId4"/><Relationship Type="http://schemas.openxmlformats.org/officeDocument/2006/relationships/hyperlink" Target="https://deploymentsafety.openai.com/gpt-6-astra" TargetMode="External" Id="rId5"/><Relationship Type="http://schemas.openxmlformats.org/officeDocument/2006/relationships/hyperlink" Target="https://openai.com/index/safety-overview-gpt-6-astra/" TargetMode="External" Id="rId6"/><Relationship Type="http://schemas.openxmlformats.org/officeDocument/2006/relationships/hyperlink" Target="https://www.infoq.com/news/2026/09/gpt-6-astra-critical-cyber/" TargetMode="External" Id="rId7"/><Relationship Type="http://schemas.openxmlformats.org/officeDocument/2006/relationships/hyperlink" Target="https://www.anthropic.com/glasswing" TargetMode="External" Id="rId8"/><Relationship Type="http://schemas.openxmlformats.org/officeDocument/2006/relationships/hyperlink" Target="https://www.csoonline.com/article/4218679/openai-launches-gpt-6-astra-its-first-model-to-cross-a-critical-cybersecurity-threshold.html" TargetMode="External" Id="rId9"/><Relationship Type="http://schemas.openxmlformats.org/officeDocument/2006/relationships/hyperlink" Target="https://arxiv.org/abs/2606.19348" TargetMode="External" Id="rId10"/><Relationship Type="http://schemas.openxmlformats.org/officeDocument/2006/relationships/hyperlink" Target="https://huggingface.co/blog/ResterChed/deepseek-v4-ga-architecture" TargetMode="External" Id="rId11"/><Relationship Type="http://schemas.openxmlformats.org/officeDocument/2006/relationships/hyperlink" Target="https://huggingface.co/models" TargetMode="External" Id="rId12"/><Relationship Type="http://schemas.openxmlformats.org/officeDocument/2006/relationships/hyperlink" Target="https://artificialanalysis.ai" TargetMode="External" Id="rId13"/><Relationship Type="http://schemas.openxmlformats.org/officeDocument/2006/relationships/hyperlink" Target="https://epoch.ai/benchmarks" TargetMode="External" Id="rId14"/><Relationship Type="http://schemas.openxmlformats.org/officeDocument/2006/relationships/hyperlink" Target="https://lmarena.ai" TargetMode="External" Id="rId15"/><Relationship Type="http://schemas.openxmlformats.org/officeDocument/2006/relationships/hyperlink" Target="https://openrouter.ai/models" TargetMode="External" Id="rId16"/><Relationship Type="http://schemas.openxmlformats.org/officeDocument/2006/relationships/hyperlink" Target="https://martinfowler.com/articles/harness-engineering.html" TargetMode="External" Id="rId17"/><Relationship Type="http://schemas.openxmlformats.org/officeDocument/2006/relationships/hyperlink" Target="https://www.anthropic.com/engineering/effective-harnesses-for-long-running-agents" TargetMode="External" Id="rId18"/><Relationship Type="http://schemas.openxmlformats.org/officeDocument/2006/relationships/hyperlink" Target="https://github.com/ai-boost/awesome-harness-engineering" TargetMode="External" Id="rId19"/><Relationship Type="http://schemas.openxmlformats.org/officeDocument/2006/relationships/hyperlink" Target="https://openai.com/index/harness-engineering/" TargetMode="External" Id="rId20"/><Relationship Type="http://schemas.openxmlformats.org/officeDocument/2006/relationships/hyperlink" Target="https://www.faros.ai/blog/harness-engineering" TargetMode="External" Id="rId21"/><Relationship Type="http://schemas.openxmlformats.org/officeDocument/2006/relationships/hyperlink" Target="https://github.com/AutoJunjie/awesome-agent-harness" TargetMode="External" Id="rId22"/><Relationship Type="http://schemas.openxmlformats.org/officeDocument/2006/relationships/hyperlink" Target="https://anthropic.com/engineering/managed-agents" TargetMode="External" Id="rId23"/><Relationship Type="http://schemas.openxmlformats.org/officeDocument/2006/relationships/hyperlink" Target="https://arxiv.org/abs/2210.03629" TargetMode="External" Id="rId24"/><Relationship Type="http://schemas.openxmlformats.org/officeDocument/2006/relationships/hyperlink" Target="https://www.anthropic.com/engineering/building-effective-agents" TargetMode="External" Id="rId25"/><Relationship Type="http://schemas.openxmlformats.org/officeDocument/2006/relationships/hyperlink" Target="https://github.com/SWE-agent/mini-swe-agent" TargetMode="External" Id="rId26"/><Relationship Type="http://schemas.openxmlformats.org/officeDocument/2006/relationships/hyperlink" Target="https://www.anthropic.com/engineering/building-effective-agents" TargetMode="External" Id="rId27"/><Relationship Type="http://schemas.openxmlformats.org/officeDocument/2006/relationships/hyperlink" Target="https://github.com/humanlayer/12-factor-agents" TargetMode="External" Id="rId28"/><Relationship Type="http://schemas.openxmlformats.org/officeDocument/2006/relationships/hyperlink" Target="https://www.anthropic.com/engineering/writing-tools-for-agents" TargetMode="External" Id="rId29"/><Relationship Type="http://schemas.openxmlformats.org/officeDocument/2006/relationships/hyperlink" Target="https://docs.claude.com/en/docs/agents-and-tools/tool-use/overview" TargetMode="External" Id="rId30"/><Relationship Type="http://schemas.openxmlformats.org/officeDocument/2006/relationships/hyperlink" Target="https://www.anthropic.com/engineering/advanced-tool-use" TargetMode="External" Id="rId31"/><Relationship Type="http://schemas.openxmlformats.org/officeDocument/2006/relationships/hyperlink" Target="https://www.anthropic.com/engineering/code-execution-with-mcp" TargetMode="External" Id="rId32"/><Relationship Type="http://schemas.openxmlformats.org/officeDocument/2006/relationships/hyperlink" Target="https://blog.cloudflare.com/code-mode/" TargetMode="External" Id="rId33"/><Relationship Type="http://schemas.openxmlformats.org/officeDocument/2006/relationships/hyperlink" Target="https://www.anthropic.com/engineering/multi-agent-research-system" TargetMode="External" Id="rId34"/><Relationship Type="http://schemas.openxmlformats.org/officeDocument/2006/relationships/hyperlink" Target="https://docs.claude.com/en/docs/claude-code/sub-agents" TargetMode="External" Id="rId35"/><Relationship Type="http://schemas.openxmlformats.org/officeDocument/2006/relationships/hyperlink" Target="https://github.com/langchain-ai/langgraph" TargetMode="External" Id="rId36"/><Relationship Type="http://schemas.openxmlformats.org/officeDocument/2006/relationships/hyperlink" Target="https://www.anthropic.com/engineering/effective-harnesses-for-long-running-agents" TargetMode="External" Id="rId37"/><Relationship Type="http://schemas.openxmlformats.org/officeDocument/2006/relationships/hyperlink" Target="https://metr.org/blog/2025-03-19-measuring-ai-ability-to-complete-long-tasks/" TargetMode="External" Id="rId38"/><Relationship Type="http://schemas.openxmlformats.org/officeDocument/2006/relationships/hyperlink" Target="https://docs.claude.com/en/docs/agents-and-tools/tool-use/computer-use-tool" TargetMode="External" Id="rId39"/><Relationship Type="http://schemas.openxmlformats.org/officeDocument/2006/relationships/hyperlink" Target="https://openai.com/index/computer-using-agent/" TargetMode="External" Id="rId40"/><Relationship Type="http://schemas.openxmlformats.org/officeDocument/2006/relationships/hyperlink" Target="https://github.com/browser-use/browser-use" TargetMode="External" Id="rId41"/><Relationship Type="http://schemas.openxmlformats.org/officeDocument/2006/relationships/hyperlink" Target="https://github.com/microsoft/playwright-mcp" TargetMode="External" Id="rId42"/><Relationship Type="http://schemas.openxmlformats.org/officeDocument/2006/relationships/hyperlink" Target="https://github.com/openclaw/openclaw" TargetMode="External" Id="rId43"/><Relationship Type="http://schemas.openxmlformats.org/officeDocument/2006/relationships/hyperlink" Target="https://arxiv.org/abs/2604.11548" TargetMode="External" Id="rId44"/><Relationship Type="http://schemas.openxmlformats.org/officeDocument/2006/relationships/hyperlink" Target="https://github.com/anthropic-experimental/sandbox-runtime" TargetMode="External" Id="rId45"/><Relationship Type="http://schemas.openxmlformats.org/officeDocument/2006/relationships/hyperlink" Target="https://github.com/e2b-dev/E2B" TargetMode="External" Id="rId46"/><Relationship Type="http://schemas.openxmlformats.org/officeDocument/2006/relationships/hyperlink" Target="https://github.com/daytonaio/daytona" TargetMode="External" Id="rId47"/><Relationship Type="http://schemas.openxmlformats.org/officeDocument/2006/relationships/hyperlink" Target="https://github.com/dagger/container-use" TargetMode="External" Id="rId48"/><Relationship Type="http://schemas.openxmlformats.org/officeDocument/2006/relationships/hyperlink" Target="https://github.com/anthropics/claude-agent-sdk-python" TargetMode="External" Id="rId49"/><Relationship Type="http://schemas.openxmlformats.org/officeDocument/2006/relationships/hyperlink" Target="https://github.com/openai/openai-agents-python" TargetMode="External" Id="rId50"/><Relationship Type="http://schemas.openxmlformats.org/officeDocument/2006/relationships/hyperlink" Target="https://github.com/google/adk-python" TargetMode="External" Id="rId51"/><Relationship Type="http://schemas.openxmlformats.org/officeDocument/2006/relationships/hyperlink" Target="https://github.com/microsoft/agent-framework" TargetMode="External" Id="rId52"/><Relationship Type="http://schemas.openxmlformats.org/officeDocument/2006/relationships/hyperlink" Target="https://github.com/pydantic/pydantic-ai" TargetMode="External" Id="rId53"/><Relationship Type="http://schemas.openxmlformats.org/officeDocument/2006/relationships/hyperlink" Target="https://github.com/huggingface/smolagents" TargetMode="External" Id="rId54"/><Relationship Type="http://schemas.openxmlformats.org/officeDocument/2006/relationships/hyperlink" Target="https://github.com/crewAIInc/crewAI" TargetMode="External" Id="rId55"/><Relationship Type="http://schemas.openxmlformats.org/officeDocument/2006/relationships/hyperlink" Target="https://github.com/langchain-ai/deepagents" TargetMode="External" Id="rId56"/><Relationship Type="http://schemas.openxmlformats.org/officeDocument/2006/relationships/hyperlink" Target="https://temporal.io" TargetMode="External" Id="rId57"/><Relationship Type="http://schemas.openxmlformats.org/officeDocument/2006/relationships/hyperlink" Target="https://github.com/langchain-ai/langgraph" TargetMode="External" Id="rId58"/><Relationship Type="http://schemas.openxmlformats.org/officeDocument/2006/relationships/hyperlink" Target="https://blog.modelcontextprotocol.io/posts/2026-07-28/" TargetMode="External" Id="rId59"/><Relationship Type="http://schemas.openxmlformats.org/officeDocument/2006/relationships/hyperlink" Target="https://blog.modelcontextprotocol.io/posts/mcp-roadmap/" TargetMode="External" Id="rId60"/><Relationship Type="http://schemas.openxmlformats.org/officeDocument/2006/relationships/hyperlink" Target="https://modelcontextprotocol.io" TargetMode="External" Id="rId61"/><Relationship Type="http://schemas.openxmlformats.org/officeDocument/2006/relationships/hyperlink" Target="https://github.com/modelcontextprotocol" TargetMode="External" Id="rId62"/><Relationship Type="http://schemas.openxmlformats.org/officeDocument/2006/relationships/hyperlink" Target="https://workos.com/blog/mcp-2026-spec-agent-authentication" TargetMode="External" Id="rId63"/><Relationship Type="http://schemas.openxmlformats.org/officeDocument/2006/relationships/hyperlink" Target="https://github.com/modelcontextprotocol/ext-apps" TargetMode="External" Id="rId64"/><Relationship Type="http://schemas.openxmlformats.org/officeDocument/2006/relationships/hyperlink" Target="https://blog.modelcontextprotocol.io/posts/2026-07-28-release-candidate/" TargetMode="External" Id="rId65"/><Relationship Type="http://schemas.openxmlformats.org/officeDocument/2006/relationships/hyperlink" Target="https://a2a-protocol.org" TargetMode="External" Id="rId66"/><Relationship Type="http://schemas.openxmlformats.org/officeDocument/2006/relationships/hyperlink" Target="https://github.com/a2aproject/A2A" TargetMode="External" Id="rId67"/><Relationship Type="http://schemas.openxmlformats.org/officeDocument/2006/relationships/hyperlink" Target="https://aaif.io" TargetMode="External" Id="rId68"/><Relationship Type="http://schemas.openxmlformats.org/officeDocument/2006/relationships/hyperlink" Target="https://github.com/block/goose" TargetMode="External" Id="rId69"/><Relationship Type="http://schemas.openxmlformats.org/officeDocument/2006/relationships/hyperlink" Target="https://agentskills.io" TargetMode="External" Id="rId70"/><Relationship Type="http://schemas.openxmlformats.org/officeDocument/2006/relationships/hyperlink" Target="https://github.com/anthropics/skills" TargetMode="External" Id="rId71"/><Relationship Type="http://schemas.openxmlformats.org/officeDocument/2006/relationships/hyperlink" Target="https://www.anthropic.com/engineering/equipping-agents-for-the-real-world-with-agent-skills" TargetMode="External" Id="rId72"/><Relationship Type="http://schemas.openxmlformats.org/officeDocument/2006/relationships/hyperlink" Target="https://agents.md" TargetMode="External" Id="rId73"/><Relationship Type="http://schemas.openxmlformats.org/officeDocument/2006/relationships/hyperlink" Target="https://github.com/agentsmd/agents.md" TargetMode="External" Id="rId74"/><Relationship Type="http://schemas.openxmlformats.org/officeDocument/2006/relationships/hyperlink" Target="https://agentclientprotocol.com" TargetMode="External" Id="rId75"/><Relationship Type="http://schemas.openxmlformats.org/officeDocument/2006/relationships/hyperlink" Target="https://github.com/zed-industries/agent-client-protocol" TargetMode="External" Id="rId76"/><Relationship Type="http://schemas.openxmlformats.org/officeDocument/2006/relationships/hyperlink" Target="https://docs.ag-ui.com" TargetMode="External" Id="rId77"/><Relationship Type="http://schemas.openxmlformats.org/officeDocument/2006/relationships/hyperlink" Target="https://github.com/ag-ui-protocol/ag-ui" TargetMode="External" Id="rId78"/><Relationship Type="http://schemas.openxmlformats.org/officeDocument/2006/relationships/hyperlink" Target="https://github.com/agentic-commerce-protocol/agentic-commerce-protocol" TargetMode="External" Id="rId79"/><Relationship Type="http://schemas.openxmlformats.org/officeDocument/2006/relationships/hyperlink" Target="https://github.com/google-agentic-commerce/AP2" TargetMode="External" Id="rId80"/><Relationship Type="http://schemas.openxmlformats.org/officeDocument/2006/relationships/hyperlink" Target="https://ucp.dev" TargetMode="External" Id="rId81"/><Relationship Type="http://schemas.openxmlformats.org/officeDocument/2006/relationships/hyperlink" Target="https://github.com/coinbase/x402" TargetMode="External" Id="rId82"/><Relationship Type="http://schemas.openxmlformats.org/officeDocument/2006/relationships/hyperlink" Target="https://llmstxt.org" TargetMode="External" Id="rId83"/><Relationship Type="http://schemas.openxmlformats.org/officeDocument/2006/relationships/hyperlink" Target="https://opentelemetry.io/docs/specs/semconv/gen-ai/" TargetMode="External" Id="rId84"/><Relationship Type="http://schemas.openxmlformats.org/officeDocument/2006/relationships/hyperlink" Target="https://github.com/anthropics/claude-code" TargetMode="External" Id="rId85"/><Relationship Type="http://schemas.openxmlformats.org/officeDocument/2006/relationships/hyperlink" Target="https://github.com/openai/codex" TargetMode="External" Id="rId86"/><Relationship Type="http://schemas.openxmlformats.org/officeDocument/2006/relationships/hyperlink" Target="https://github.com/google-gemini/gemini-cli" TargetMode="External" Id="rId87"/><Relationship Type="http://schemas.openxmlformats.org/officeDocument/2006/relationships/hyperlink" Target="https://github.com/OpenHands/OpenHands" TargetMode="External" Id="rId88"/><Relationship Type="http://schemas.openxmlformats.org/officeDocument/2006/relationships/hyperlink" Target="https://github.com/sst/opencode" TargetMode="External" Id="rId89"/><Relationship Type="http://schemas.openxmlformats.org/officeDocument/2006/relationships/hyperlink" Target="https://github.com/Aider-AI/aider" TargetMode="External" Id="rId90"/><Relationship Type="http://schemas.openxmlformats.org/officeDocument/2006/relationships/hyperlink" Target="https://x.com/karpathy/status/1886192184808149383" TargetMode="External" Id="rId91"/><Relationship Type="http://schemas.openxmlformats.org/officeDocument/2006/relationships/hyperlink" Target="https://simonwillison.net/2025/Mar/19/vibe-coding/" TargetMode="External" Id="rId92"/><Relationship Type="http://schemas.openxmlformats.org/officeDocument/2006/relationships/hyperlink" Target="https://www.youtube.com/watch?v=LCEmiRjPEtQ" TargetMode="External" Id="rId93"/><Relationship Type="http://schemas.openxmlformats.org/officeDocument/2006/relationships/hyperlink" Target="https://www.anthropic.com/engineering/claude-code-best-practices" TargetMode="External" Id="rId94"/><Relationship Type="http://schemas.openxmlformats.org/officeDocument/2006/relationships/hyperlink" Target="https://github.com/github/spec-kit" TargetMode="External" Id="rId95"/><Relationship Type="http://schemas.openxmlformats.org/officeDocument/2006/relationships/hyperlink" Target="https://kiro.dev" TargetMode="External" Id="rId96"/><Relationship Type="http://schemas.openxmlformats.org/officeDocument/2006/relationships/hyperlink" Target="https://ghuntley.com/ralph/" TargetMode="External" Id="rId97"/><Relationship Type="http://schemas.openxmlformats.org/officeDocument/2006/relationships/hyperlink" Target="https://docs.claude.com/en/docs/claude-code/hooks" TargetMode="External" Id="rId98"/><Relationship Type="http://schemas.openxmlformats.org/officeDocument/2006/relationships/hyperlink" Target="https://docs.claude.com/en/docs/claude-code/plugins" TargetMode="External" Id="rId99"/><Relationship Type="http://schemas.openxmlformats.org/officeDocument/2006/relationships/hyperlink" Target="https://git-scm.com/docs/git-worktree" TargetMode="External" Id="rId100"/><Relationship Type="http://schemas.openxmlformats.org/officeDocument/2006/relationships/hyperlink" Target="https://github.com/dagger/container-use" TargetMode="External" Id="rId101"/><Relationship Type="http://schemas.openxmlformats.org/officeDocument/2006/relationships/hyperlink" Target="https://www.faros.ai/blog/harness-engineering" TargetMode="External" Id="rId102"/><Relationship Type="http://schemas.openxmlformats.org/officeDocument/2006/relationships/hyperlink" Target="https://www.anthropic.com/engineering/effective-context-engineering-for-ai-agents" TargetMode="External" Id="rId103"/><Relationship Type="http://schemas.openxmlformats.org/officeDocument/2006/relationships/hyperlink" Target="https://blog.langchain.com/context-engineering-for-agents/" TargetMode="External" Id="rId104"/><Relationship Type="http://schemas.openxmlformats.org/officeDocument/2006/relationships/hyperlink" Target="https://research.trychroma.com/context-rot" TargetMode="External" Id="rId105"/><Relationship Type="http://schemas.openxmlformats.org/officeDocument/2006/relationships/hyperlink" Target="https://www.anthropic.com/news/context-management" TargetMode="External" Id="rId106"/><Relationship Type="http://schemas.openxmlformats.org/officeDocument/2006/relationships/hyperlink" Target="https://docs.claude.com/en/docs/build-with-claude/prompt-caching" TargetMode="External" Id="rId107"/><Relationship Type="http://schemas.openxmlformats.org/officeDocument/2006/relationships/hyperlink" Target="https://github.com/letta-ai/letta" TargetMode="External" Id="rId108"/><Relationship Type="http://schemas.openxmlformats.org/officeDocument/2006/relationships/hyperlink" Target="https://github.com/mem0ai/mem0" TargetMode="External" Id="rId109"/><Relationship Type="http://schemas.openxmlformats.org/officeDocument/2006/relationships/hyperlink" Target="https://github.com/getzep/graphiti" TargetMode="External" Id="rId110"/><Relationship Type="http://schemas.openxmlformats.org/officeDocument/2006/relationships/hyperlink" Target="https://arxiv.org/abs/2005.11401" TargetMode="External" Id="rId111"/><Relationship Type="http://schemas.openxmlformats.org/officeDocument/2006/relationships/hyperlink" Target="https://www.anthropic.com/news/contextual-retrieval" TargetMode="External" Id="rId112"/><Relationship Type="http://schemas.openxmlformats.org/officeDocument/2006/relationships/hyperlink" Target="https://github.com/run-llama/llama_index" TargetMode="External" Id="rId113"/><Relationship Type="http://schemas.openxmlformats.org/officeDocument/2006/relationships/hyperlink" Target="https://openai.com/index/introducing-deep-research/" TargetMode="External" Id="rId114"/><Relationship Type="http://schemas.openxmlformats.org/officeDocument/2006/relationships/hyperlink" Target="https://github.com/assafelovic/gpt-researcher" TargetMode="External" Id="rId115"/><Relationship Type="http://schemas.openxmlformats.org/officeDocument/2006/relationships/hyperlink" Target="https://github.com/microsoft/graphrag" TargetMode="External" Id="rId116"/><Relationship Type="http://schemas.openxmlformats.org/officeDocument/2006/relationships/hyperlink" Target="https://github.com/HKUDS/LightRAG" TargetMode="External" Id="rId117"/><Relationship Type="http://schemas.openxmlformats.org/officeDocument/2006/relationships/hyperlink" Target="https://huggingface.co/spaces/mteb/leaderboard" TargetMode="External" Id="rId118"/><Relationship Type="http://schemas.openxmlformats.org/officeDocument/2006/relationships/hyperlink" Target="https://github.com/stanford-futuredata/ColBERT" TargetMode="External" Id="rId119"/><Relationship Type="http://schemas.openxmlformats.org/officeDocument/2006/relationships/hyperlink" Target="https://arxiv.org/abs/2205.13147" TargetMode="External" Id="rId120"/><Relationship Type="http://schemas.openxmlformats.org/officeDocument/2006/relationships/hyperlink" Target="https://github.com/mlc-ai/xgrammar" TargetMode="External" Id="rId121"/><Relationship Type="http://schemas.openxmlformats.org/officeDocument/2006/relationships/hyperlink" Target="https://github.com/dottxt-ai/outlines" TargetMode="External" Id="rId122"/><Relationship Type="http://schemas.openxmlformats.org/officeDocument/2006/relationships/hyperlink" Target="https://platform.openai.com/docs/guides/structured-outputs" TargetMode="External" Id="rId123"/><Relationship Type="http://schemas.openxmlformats.org/officeDocument/2006/relationships/hyperlink" Target="https://openai.com/index/learning-to-reason-with-llms/" TargetMode="External" Id="rId124"/><Relationship Type="http://schemas.openxmlformats.org/officeDocument/2006/relationships/hyperlink" Target="https://arxiv.org/abs/2408.03314" TargetMode="External" Id="rId125"/><Relationship Type="http://schemas.openxmlformats.org/officeDocument/2006/relationships/hyperlink" Target="https://arxiv.org/abs/2501.12948" TargetMode="External" Id="rId126"/><Relationship Type="http://schemas.openxmlformats.org/officeDocument/2006/relationships/hyperlink" Target="https://docs.claude.com/en/docs/build-with-claude/extended-thinking" TargetMode="External" Id="rId127"/><Relationship Type="http://schemas.openxmlformats.org/officeDocument/2006/relationships/hyperlink" Target="https://arxiv.org/abs/2501.19393" TargetMode="External" Id="rId128"/><Relationship Type="http://schemas.openxmlformats.org/officeDocument/2006/relationships/hyperlink" Target="https://arxiv.org/abs/2411.15124" TargetMode="External" Id="rId129"/><Relationship Type="http://schemas.openxmlformats.org/officeDocument/2006/relationships/hyperlink" Target="https://rlhfbook.com" TargetMode="External" Id="rId130"/><Relationship Type="http://schemas.openxmlformats.org/officeDocument/2006/relationships/hyperlink" Target="https://rlhfbook.com/teach/course/conversation-01/" TargetMode="External" Id="rId131"/><Relationship Type="http://schemas.openxmlformats.org/officeDocument/2006/relationships/hyperlink" Target="https://huggingface.co/blog/sergiopaniego/distillation-2026" TargetMode="External" Id="rId132"/><Relationship Type="http://schemas.openxmlformats.org/officeDocument/2006/relationships/hyperlink" Target="https://thinkingmachines.ai/blog/on-policy-distillation/" TargetMode="External" Id="rId133"/><Relationship Type="http://schemas.openxmlformats.org/officeDocument/2006/relationships/hyperlink" Target="https://arxiv.org/abs/2402.03300" TargetMode="External" Id="rId134"/><Relationship Type="http://schemas.openxmlformats.org/officeDocument/2006/relationships/hyperlink" Target="https://arxiv.org/abs/2503.14476" TargetMode="External" Id="rId135"/><Relationship Type="http://schemas.openxmlformats.org/officeDocument/2006/relationships/hyperlink" Target="https://arxiv.org/abs/2507.18071" TargetMode="External" Id="rId136"/><Relationship Type="http://schemas.openxmlformats.org/officeDocument/2006/relationships/hyperlink" Target="https://arxiv.org/abs/2503.20783" TargetMode="External" Id="rId137"/><Relationship Type="http://schemas.openxmlformats.org/officeDocument/2006/relationships/hyperlink" Target="https://github.com/PrimeIntellect-ai/verifiers" TargetMode="External" Id="rId138"/><Relationship Type="http://schemas.openxmlformats.org/officeDocument/2006/relationships/hyperlink" Target="https://github.com/meta-pytorch/OpenEnv" TargetMode="External" Id="rId139"/><Relationship Type="http://schemas.openxmlformats.org/officeDocument/2006/relationships/hyperlink" Target="https://github.com/volcengine/verl" TargetMode="External" Id="rId140"/><Relationship Type="http://schemas.openxmlformats.org/officeDocument/2006/relationships/hyperlink" Target="https://github.com/NovaSky-AI/SkyRL" TargetMode="External" Id="rId141"/><Relationship Type="http://schemas.openxmlformats.org/officeDocument/2006/relationships/hyperlink" Target="https://www.prolific.com/resources/rl-environments-for-agentic-ai-the-2026-guide-to-building-and-deploying-enterprise-rl-environments" TargetMode="External" Id="rId142"/><Relationship Type="http://schemas.openxmlformats.org/officeDocument/2006/relationships/hyperlink" Target="https://arxiv.org/abs/2203.02155" TargetMode="External" Id="rId143"/><Relationship Type="http://schemas.openxmlformats.org/officeDocument/2006/relationships/hyperlink" Target="https://arxiv.org/abs/2305.18290" TargetMode="External" Id="rId144"/><Relationship Type="http://schemas.openxmlformats.org/officeDocument/2006/relationships/hyperlink" Target="https://github.com/huggingface/trl" TargetMode="External" Id="rId145"/><Relationship Type="http://schemas.openxmlformats.org/officeDocument/2006/relationships/hyperlink" Target="https://arxiv.org/abs/2212.08073" TargetMode="External" Id="rId146"/><Relationship Type="http://schemas.openxmlformats.org/officeDocument/2006/relationships/hyperlink" Target="https://www.anthropic.com/constitution" TargetMode="External" Id="rId147"/><Relationship Type="http://schemas.openxmlformats.org/officeDocument/2006/relationships/hyperlink" Target="https://arxiv.org/abs/2305.20050" TargetMode="External" Id="rId148"/><Relationship Type="http://schemas.openxmlformats.org/officeDocument/2006/relationships/hyperlink" Target="https://lilianweng.github.io/posts/2024-11-28-reward-hacking/" TargetMode="External" Id="rId149"/><Relationship Type="http://schemas.openxmlformats.org/officeDocument/2006/relationships/hyperlink" Target="https://www.anthropic.com/research/emergent-misalignment-reward-hacking" TargetMode="External" Id="rId150"/><Relationship Type="http://schemas.openxmlformats.org/officeDocument/2006/relationships/hyperlink" Target="https://arxiv.org/abs/2505.03335" TargetMode="External" Id="rId151"/><Relationship Type="http://schemas.openxmlformats.org/officeDocument/2006/relationships/hyperlink" Target="https://arxiv.org/abs/2603.12658" TargetMode="External" Id="rId152"/><Relationship Type="http://schemas.openxmlformats.org/officeDocument/2006/relationships/hyperlink" Target="https://research.google/blog/introducing-nested-learning-a-new-ml-paradigm-for-continual-learning/" TargetMode="External" Id="rId153"/><Relationship Type="http://schemas.openxmlformats.org/officeDocument/2006/relationships/hyperlink" Target="https://huggingface.co/blog/moe" TargetMode="External" Id="rId154"/><Relationship Type="http://schemas.openxmlformats.org/officeDocument/2006/relationships/hyperlink" Target="https://arxiv.org/abs/2412.19437" TargetMode="External" Id="rId155"/><Relationship Type="http://schemas.openxmlformats.org/officeDocument/2006/relationships/hyperlink" Target="https://github.com/deepseek-ai/DeepEP" TargetMode="External" Id="rId156"/><Relationship Type="http://schemas.openxmlformats.org/officeDocument/2006/relationships/hyperlink" Target="https://arxiv.org/abs/2305.13245" TargetMode="External" Id="rId157"/><Relationship Type="http://schemas.openxmlformats.org/officeDocument/2006/relationships/hyperlink" Target="https://arxiv.org/abs/2405.04434" TargetMode="External" Id="rId158"/><Relationship Type="http://schemas.openxmlformats.org/officeDocument/2006/relationships/hyperlink" Target="https://arxiv.org/abs/2502.11089" TargetMode="External" Id="rId159"/><Relationship Type="http://schemas.openxmlformats.org/officeDocument/2006/relationships/hyperlink" Target="https://github.com/deepseek-ai/DeepSeek-V3.2-Exp" TargetMode="External" Id="rId160"/><Relationship Type="http://schemas.openxmlformats.org/officeDocument/2006/relationships/hyperlink" Target="https://arxiv.org/abs/2606.19348" TargetMode="External" Id="rId161"/><Relationship Type="http://schemas.openxmlformats.org/officeDocument/2006/relationships/hyperlink" Target="https://arxiv.org/abs/2606.19348" TargetMode="External" Id="rId162"/><Relationship Type="http://schemas.openxmlformats.org/officeDocument/2006/relationships/hyperlink" Target="https://github.com/state-spaces/mamba" TargetMode="External" Id="rId163"/><Relationship Type="http://schemas.openxmlformats.org/officeDocument/2006/relationships/hyperlink" Target="https://github.com/NVlabs/GatedDeltaNet" TargetMode="External" Id="rId164"/><Relationship Type="http://schemas.openxmlformats.org/officeDocument/2006/relationships/hyperlink" Target="https://github.com/MoonshotAI/Kimi-Linear" TargetMode="External" Id="rId165"/><Relationship Type="http://schemas.openxmlformats.org/officeDocument/2006/relationships/hyperlink" Target="https://github.com/fla-org/flash-linear-attention" TargetMode="External" Id="rId166"/><Relationship Type="http://schemas.openxmlformats.org/officeDocument/2006/relationships/hyperlink" Target="https://github.com/ML-GSAI/LLaDA" TargetMode="External" Id="rId167"/><Relationship Type="http://schemas.openxmlformats.org/officeDocument/2006/relationships/hyperlink" Target="https://deepmind.google/models/gemini-diffusion/" TargetMode="External" Id="rId168"/><Relationship Type="http://schemas.openxmlformats.org/officeDocument/2006/relationships/hyperlink" Target="https://www.inceptionlabs.ai" TargetMode="External" Id="rId169"/><Relationship Type="http://schemas.openxmlformats.org/officeDocument/2006/relationships/hyperlink" Target="https://arxiv.org/abs/2211.17192" TargetMode="External" Id="rId170"/><Relationship Type="http://schemas.openxmlformats.org/officeDocument/2006/relationships/hyperlink" Target="https://github.com/SafeAILab/EAGLE" TargetMode="External" Id="rId171"/><Relationship Type="http://schemas.openxmlformats.org/officeDocument/2006/relationships/hyperlink" Target="https://arxiv.org/abs/2404.19737" TargetMode="External" Id="rId172"/><Relationship Type="http://schemas.openxmlformats.org/officeDocument/2006/relationships/hyperlink" Target="https://arxiv.org/abs/2104.09864" TargetMode="External" Id="rId173"/><Relationship Type="http://schemas.openxmlformats.org/officeDocument/2006/relationships/hyperlink" Target="https://github.com/jquesnelle/yarn" TargetMode="External" Id="rId174"/><Relationship Type="http://schemas.openxmlformats.org/officeDocument/2006/relationships/hyperlink" Target="https://arxiv.org/abs/2309.17453" TargetMode="External" Id="rId175"/><Relationship Type="http://schemas.openxmlformats.org/officeDocument/2006/relationships/hyperlink" Target="https://github.com/facebookresearch/blt" TargetMode="External" Id="rId176"/><Relationship Type="http://schemas.openxmlformats.org/officeDocument/2006/relationships/hyperlink" Target="https://github.com/sapientinc/HRM" TargetMode="External" Id="rId177"/><Relationship Type="http://schemas.openxmlformats.org/officeDocument/2006/relationships/hyperlink" Target="https://github.com/SamsungSAILMontreal/TinyRecursiveModels" TargetMode="External" Id="rId178"/><Relationship Type="http://schemas.openxmlformats.org/officeDocument/2006/relationships/hyperlink" Target="https://huggingface.co/blog/smollm3" TargetMode="External" Id="rId179"/><Relationship Type="http://schemas.openxmlformats.org/officeDocument/2006/relationships/hyperlink" Target="https://developer.apple.com/documentation/foundationmodels" TargetMode="External" Id="rId180"/><Relationship Type="http://schemas.openxmlformats.org/officeDocument/2006/relationships/hyperlink" Target="https://magazine.sebastianraschka.com/p/the-big-llm-architecture-comparison" TargetMode="External" Id="rId181"/><Relationship Type="http://schemas.openxmlformats.org/officeDocument/2006/relationships/hyperlink" Target="https://magazine.sebastianraschka.com/p/llm-research-papers-2026-part1" TargetMode="External" Id="rId182"/><Relationship Type="http://schemas.openxmlformats.org/officeDocument/2006/relationships/hyperlink" Target="https://huggingface.co/spaces/nanotron/ultrascale-playbook" TargetMode="External" Id="rId183"/><Relationship Type="http://schemas.openxmlformats.org/officeDocument/2006/relationships/hyperlink" Target="https://jax-ml.github.io/scaling-book/" TargetMode="External" Id="rId184"/><Relationship Type="http://schemas.openxmlformats.org/officeDocument/2006/relationships/hyperlink" Target="https://github.com/pytorch/torchtitan" TargetMode="External" Id="rId185"/><Relationship Type="http://schemas.openxmlformats.org/officeDocument/2006/relationships/hyperlink" Target="https://github.com/NVIDIA/Megatron-LM" TargetMode="External" Id="rId186"/><Relationship Type="http://schemas.openxmlformats.org/officeDocument/2006/relationships/hyperlink" Target="https://github.com/deepspeedai/DeepSpeed" TargetMode="External" Id="rId187"/><Relationship Type="http://schemas.openxmlformats.org/officeDocument/2006/relationships/hyperlink" Target="https://arxiv.org/abs/2203.15556" TargetMode="External" Id="rId188"/><Relationship Type="http://schemas.openxmlformats.org/officeDocument/2006/relationships/hyperlink" Target="https://epoch.ai/data" TargetMode="External" Id="rId189"/><Relationship Type="http://schemas.openxmlformats.org/officeDocument/2006/relationships/hyperlink" Target="https://kellerjordan.github.io/posts/muon/" TargetMode="External" Id="rId190"/><Relationship Type="http://schemas.openxmlformats.org/officeDocument/2006/relationships/hyperlink" Target="https://github.com/MoonshotAI/Kimi-K2" TargetMode="External" Id="rId191"/><Relationship Type="http://schemas.openxmlformats.org/officeDocument/2006/relationships/hyperlink" Target="https://github.com/KellerJordan/modded-nanogpt" TargetMode="External" Id="rId192"/><Relationship Type="http://schemas.openxmlformats.org/officeDocument/2006/relationships/hyperlink" Target="https://huggingface.co/spaces/HuggingFaceFW/blogpost-fineweb-v1" TargetMode="External" Id="rId193"/><Relationship Type="http://schemas.openxmlformats.org/officeDocument/2006/relationships/hyperlink" Target="https://huggingface.co/blog/cosmopedia" TargetMode="External" Id="rId194"/><Relationship Type="http://schemas.openxmlformats.org/officeDocument/2006/relationships/hyperlink" Target="https://allenai.org/olmo" TargetMode="External" Id="rId195"/><Relationship Type="http://schemas.openxmlformats.org/officeDocument/2006/relationships/hyperlink" Target="https://arxiv.org/abs/2106.09685" TargetMode="External" Id="rId196"/><Relationship Type="http://schemas.openxmlformats.org/officeDocument/2006/relationships/hyperlink" Target="https://arxiv.org/abs/2305.14314" TargetMode="External" Id="rId197"/><Relationship Type="http://schemas.openxmlformats.org/officeDocument/2006/relationships/hyperlink" Target="https://thinkingmachines.ai/blog/lora/" TargetMode="External" Id="rId198"/><Relationship Type="http://schemas.openxmlformats.org/officeDocument/2006/relationships/hyperlink" Target="https://github.com/huggingface/peft" TargetMode="External" Id="rId199"/><Relationship Type="http://schemas.openxmlformats.org/officeDocument/2006/relationships/hyperlink" Target="https://github.com/unslothai/unsloth" TargetMode="External" Id="rId200"/><Relationship Type="http://schemas.openxmlformats.org/officeDocument/2006/relationships/hyperlink" Target="https://github.com/axolotl-ai-cloud/axolotl" TargetMode="External" Id="rId201"/><Relationship Type="http://schemas.openxmlformats.org/officeDocument/2006/relationships/hyperlink" Target="https://github.com/hiyouga/LLaMA-Factory" TargetMode="External" Id="rId202"/><Relationship Type="http://schemas.openxmlformats.org/officeDocument/2006/relationships/hyperlink" Target="https://thinkingmachines.ai/tinker/" TargetMode="External" Id="rId203"/><Relationship Type="http://schemas.openxmlformats.org/officeDocument/2006/relationships/hyperlink" Target="https://github.com/arcee-ai/mergekit" TargetMode="External" Id="rId204"/><Relationship Type="http://schemas.openxmlformats.org/officeDocument/2006/relationships/hyperlink" Target="https://arxiv.org/abs/2311.08105" TargetMode="External" Id="rId205"/><Relationship Type="http://schemas.openxmlformats.org/officeDocument/2006/relationships/hyperlink" Target="https://github.com/PrimeIntellect-ai/prime-rl" TargetMode="External" Id="rId206"/><Relationship Type="http://schemas.openxmlformats.org/officeDocument/2006/relationships/hyperlink" Target="https://github.com/karpathy/nanochat" TargetMode="External" Id="rId207"/><Relationship Type="http://schemas.openxmlformats.org/officeDocument/2006/relationships/hyperlink" Target="https://stanford-cs336.github.io" TargetMode="External" Id="rId208"/><Relationship Type="http://schemas.openxmlformats.org/officeDocument/2006/relationships/hyperlink" Target="https://github.com/vllm-project/vllm" TargetMode="External" Id="rId209"/><Relationship Type="http://schemas.openxmlformats.org/officeDocument/2006/relationships/hyperlink" Target="https://github.com/sgl-project/sglang" TargetMode="External" Id="rId210"/><Relationship Type="http://schemas.openxmlformats.org/officeDocument/2006/relationships/hyperlink" Target="https://github.com/NVIDIA/TensorRT-LLM" TargetMode="External" Id="rId211"/><Relationship Type="http://schemas.openxmlformats.org/officeDocument/2006/relationships/hyperlink" Target="https://github.com/ggml-org/llama.cpp" TargetMode="External" Id="rId212"/><Relationship Type="http://schemas.openxmlformats.org/officeDocument/2006/relationships/hyperlink" Target="https://github.com/ollama/ollama" TargetMode="External" Id="rId213"/><Relationship Type="http://schemas.openxmlformats.org/officeDocument/2006/relationships/hyperlink" Target="https://github.com/ml-explore/mlx" TargetMode="External" Id="rId214"/><Relationship Type="http://schemas.openxmlformats.org/officeDocument/2006/relationships/hyperlink" Target="https://arxiv.org/abs/2309.06180" TargetMode="External" Id="rId215"/><Relationship Type="http://schemas.openxmlformats.org/officeDocument/2006/relationships/hyperlink" Target="https://github.com/sgl-project/sglang" TargetMode="External" Id="rId216"/><Relationship Type="http://schemas.openxmlformats.org/officeDocument/2006/relationships/hyperlink" Target="https://arxiv.org/abs/2401.09670" TargetMode="External" Id="rId217"/><Relationship Type="http://schemas.openxmlformats.org/officeDocument/2006/relationships/hyperlink" Target="https://github.com/ai-dynamo/dynamo" TargetMode="External" Id="rId218"/><Relationship Type="http://schemas.openxmlformats.org/officeDocument/2006/relationships/hyperlink" Target="https://github.com/llm-d/llm-d" TargetMode="External" Id="rId219"/><Relationship Type="http://schemas.openxmlformats.org/officeDocument/2006/relationships/hyperlink" Target="https://github.com/kvcache-ai/Mooncake" TargetMode="External" Id="rId220"/><Relationship Type="http://schemas.openxmlformats.org/officeDocument/2006/relationships/hyperlink" Target="https://github.com/LMCache/LMCache" TargetMode="External" Id="rId221"/><Relationship Type="http://schemas.openxmlformats.org/officeDocument/2006/relationships/hyperlink" Target="https://github.com/Dao-AILab/flash-attention" TargetMode="External" Id="rId222"/><Relationship Type="http://schemas.openxmlformats.org/officeDocument/2006/relationships/hyperlink" Target="https://github.com/flashinfer-ai/flashinfer" TargetMode="External" Id="rId223"/><Relationship Type="http://schemas.openxmlformats.org/officeDocument/2006/relationships/hyperlink" Target="https://github.com/pytorch/executorch" TargetMode="External" Id="rId224"/><Relationship Type="http://schemas.openxmlformats.org/officeDocument/2006/relationships/hyperlink" Target="https://github.com/microsoft/onnxruntime" TargetMode="External" Id="rId225"/><Relationship Type="http://schemas.openxmlformats.org/officeDocument/2006/relationships/hyperlink" Target="https://github.com/BerriAI/litellm" TargetMode="External" Id="rId226"/><Relationship Type="http://schemas.openxmlformats.org/officeDocument/2006/relationships/hyperlink" Target="https://openrouter.ai" TargetMode="External" Id="rId227"/><Relationship Type="http://schemas.openxmlformats.org/officeDocument/2006/relationships/hyperlink" Target="https://github.com/InferenceMAX/InferenceMAX" TargetMode="External" Id="rId228"/><Relationship Type="http://schemas.openxmlformats.org/officeDocument/2006/relationships/hyperlink" Target="https://artificialanalysis.ai" TargetMode="External" Id="rId229"/><Relationship Type="http://schemas.openxmlformats.org/officeDocument/2006/relationships/hyperlink" Target="https://www.opencompute.org/documents/ocp-microscaling-formats-mx-v1-0-spec-final-pdf" TargetMode="External" Id="rId230"/><Relationship Type="http://schemas.openxmlformats.org/officeDocument/2006/relationships/hyperlink" Target="https://arxiv.org/abs/2310.10537" TargetMode="External" Id="rId231"/><Relationship Type="http://schemas.openxmlformats.org/officeDocument/2006/relationships/hyperlink" Target="https://github.com/openai/gpt-oss" TargetMode="External" Id="rId232"/><Relationship Type="http://schemas.openxmlformats.org/officeDocument/2006/relationships/hyperlink" Target="https://developer.nvidia.com/blog/introducing-nvfp4-for-efficient-and-accurate-low-precision-inference/" TargetMode="External" Id="rId233"/><Relationship Type="http://schemas.openxmlformats.org/officeDocument/2006/relationships/hyperlink" Target="https://arxiv.org/abs/2209.05433" TargetMode="External" Id="rId234"/><Relationship Type="http://schemas.openxmlformats.org/officeDocument/2006/relationships/hyperlink" Target="https://arxiv.org/abs/2210.17323" TargetMode="External" Id="rId235"/><Relationship Type="http://schemas.openxmlformats.org/officeDocument/2006/relationships/hyperlink" Target="https://github.com/mit-han-lab/llm-awq" TargetMode="External" Id="rId236"/><Relationship Type="http://schemas.openxmlformats.org/officeDocument/2006/relationships/hyperlink" Target="https://github.com/vllm-project/llm-compressor" TargetMode="External" Id="rId237"/><Relationship Type="http://schemas.openxmlformats.org/officeDocument/2006/relationships/hyperlink" Target="https://github.com/pytorch/ao" TargetMode="External" Id="rId238"/><Relationship Type="http://schemas.openxmlformats.org/officeDocument/2006/relationships/hyperlink" Target="https://github.com/ggml-org/ggml/blob/master/docs/gguf.md" TargetMode="External" Id="rId239"/><Relationship Type="http://schemas.openxmlformats.org/officeDocument/2006/relationships/hyperlink" Target="https://github.com/bitsandbytes-foundation/bitsandbytes" TargetMode="External" Id="rId240"/><Relationship Type="http://schemas.openxmlformats.org/officeDocument/2006/relationships/hyperlink" Target="https://github.com/microsoft/BitNet" TargetMode="External" Id="rId241"/><Relationship Type="http://schemas.openxmlformats.org/officeDocument/2006/relationships/hyperlink" Target="https://www.nvidia.com/en-us/data-center/gb200-nvl72/" TargetMode="External" Id="rId242"/><Relationship Type="http://schemas.openxmlformats.org/officeDocument/2006/relationships/hyperlink" Target="https://www.servethehome.com/nvidia-launches-next-generation-rubin-ai-compute-platform-at-ces-2026/" TargetMode="External" Id="rId243"/><Relationship Type="http://schemas.openxmlformats.org/officeDocument/2006/relationships/hyperlink" Target="https://www.datacenterdynamics.com/en/news/nvidia-announces-vera-rubin-superchip-for-late-2026/" TargetMode="External" Id="rId244"/><Relationship Type="http://schemas.openxmlformats.org/officeDocument/2006/relationships/hyperlink" Target="https://www.amd.com/en/products/accelerators/instinct.html" TargetMode="External" Id="rId245"/><Relationship Type="http://schemas.openxmlformats.org/officeDocument/2006/relationships/hyperlink" Target="https://gpuinsights.net/nvidia-rubin-vs-amd-helios-mi450-2026/" TargetMode="External" Id="rId246"/><Relationship Type="http://schemas.openxmlformats.org/officeDocument/2006/relationships/hyperlink" Target="https://www.synopsys.com/articles/ethernet-standards-scale-up-ai.html" TargetMode="External" Id="rId247"/><Relationship Type="http://schemas.openxmlformats.org/officeDocument/2006/relationships/hyperlink" Target="https://ualinkconsortium.org" TargetMode="External" Id="rId248"/><Relationship Type="http://schemas.openxmlformats.org/officeDocument/2006/relationships/hyperlink" Target="https://en.wikipedia.org/wiki/UALink" TargetMode="External" Id="rId249"/><Relationship Type="http://schemas.openxmlformats.org/officeDocument/2006/relationships/hyperlink" Target="https://ualinkconsortium.org/wp-content/uploads/2026/01/UALink_White_Paper_Publication_Candidate_FINAL_VERSION.pdf" TargetMode="External" Id="rId250"/><Relationship Type="http://schemas.openxmlformats.org/officeDocument/2006/relationships/hyperlink" Target="https://blogs.arista.com/blog/the-sun-rises-on-scale-up-ethernet" TargetMode="External" Id="rId251"/><Relationship Type="http://schemas.openxmlformats.org/officeDocument/2006/relationships/hyperlink" Target="https://www.synopsys.com/blogs/chip-design/esun-ethernet-ai-scale-up-networking.html" TargetMode="External" Id="rId252"/><Relationship Type="http://schemas.openxmlformats.org/officeDocument/2006/relationships/hyperlink" Target="https://650group.com/blog/in-the-ai-era-ethernet-set-to-surge-in-scale-out-and-ramp-in-scale-up/" TargetMode="External" Id="rId253"/><Relationship Type="http://schemas.openxmlformats.org/officeDocument/2006/relationships/hyperlink" Target="https://ultraethernet.org" TargetMode="External" Id="rId254"/><Relationship Type="http://schemas.openxmlformats.org/officeDocument/2006/relationships/hyperlink" Target="https://www.nvidia.com/en-us/data-center/nvlink-fusion/" TargetMode="External" Id="rId255"/><Relationship Type="http://schemas.openxmlformats.org/officeDocument/2006/relationships/hyperlink" Target="https://computeexpresslink.org" TargetMode="External" Id="rId256"/><Relationship Type="http://schemas.openxmlformats.org/officeDocument/2006/relationships/hyperlink" Target="https://pcisig.com" TargetMode="External" Id="rId257"/><Relationship Type="http://schemas.openxmlformats.org/officeDocument/2006/relationships/hyperlink" Target="https://www.uciexpress.org" TargetMode="External" Id="rId258"/><Relationship Type="http://schemas.openxmlformats.org/officeDocument/2006/relationships/hyperlink" Target="https://en.wikipedia.org/wiki/High_Bandwidth_Memory" TargetMode="External" Id="rId259"/><Relationship Type="http://schemas.openxmlformats.org/officeDocument/2006/relationships/hyperlink" Target="https://3dfabric.tsmc.com/english/dedicatedFoundry/technology/cowos.htm" TargetMode="External" Id="rId260"/><Relationship Type="http://schemas.openxmlformats.org/officeDocument/2006/relationships/hyperlink" Target="https://www.nvidia.com/en-us/networking/products/silicon-photonics/" TargetMode="External" Id="rId261"/><Relationship Type="http://schemas.openxmlformats.org/officeDocument/2006/relationships/hyperlink" Target="https://blog.google/products/google-cloud/ironwood-tpu-age-of-inference/" TargetMode="External" Id="rId262"/><Relationship Type="http://schemas.openxmlformats.org/officeDocument/2006/relationships/hyperlink" Target="https://aws.amazon.com/ai/machine-learning/trainium/" TargetMode="External" Id="rId263"/><Relationship Type="http://schemas.openxmlformats.org/officeDocument/2006/relationships/hyperlink" Target="https://www.cerebras.ai" TargetMode="External" Id="rId264"/><Relationship Type="http://schemas.openxmlformats.org/officeDocument/2006/relationships/hyperlink" Target="https://groq.com" TargetMode="External" Id="rId265"/><Relationship Type="http://schemas.openxmlformats.org/officeDocument/2006/relationships/hyperlink" Target="https://developer.nvidia.com/blog/nvidia-800-v-hvdc-architecture-will-power-the-next-generation-of-ai-factories/" TargetMode="External" Id="rId266"/><Relationship Type="http://schemas.openxmlformats.org/officeDocument/2006/relationships/hyperlink" Target="https://www.opencompute.org" TargetMode="External" Id="rId267"/><Relationship Type="http://schemas.openxmlformats.org/officeDocument/2006/relationships/hyperlink" Target="https://openai.com/index/announcing-the-stargate-project/" TargetMode="External" Id="rId268"/><Relationship Type="http://schemas.openxmlformats.org/officeDocument/2006/relationships/hyperlink" Target="https://github.com/triton-lang/triton" TargetMode="External" Id="rId269"/><Relationship Type="http://schemas.openxmlformats.org/officeDocument/2006/relationships/hyperlink" Target="https://github.com/NVIDIA/cutlass" TargetMode="External" Id="rId270"/><Relationship Type="http://schemas.openxmlformats.org/officeDocument/2006/relationships/hyperlink" Target="https://github.com/HazyResearch/ThunderKittens" TargetMode="External" Id="rId271"/><Relationship Type="http://schemas.openxmlformats.org/officeDocument/2006/relationships/hyperlink" Target="https://github.com/tile-ai/tilelang" TargetMode="External" Id="rId272"/><Relationship Type="http://schemas.openxmlformats.org/officeDocument/2006/relationships/hyperlink" Target="https://github.com/ROCm/ROCm" TargetMode="External" Id="rId273"/><Relationship Type="http://schemas.openxmlformats.org/officeDocument/2006/relationships/hyperlink" Target="https://github.com/openxla/xla" TargetMode="External" Id="rId274"/><Relationship Type="http://schemas.openxmlformats.org/officeDocument/2006/relationships/hyperlink" Target="https://github.com/modular/modular" TargetMode="External" Id="rId275"/><Relationship Type="http://schemas.openxmlformats.org/officeDocument/2006/relationships/hyperlink" Target="https://github.com/NVIDIA/nccl" TargetMode="External" Id="rId276"/><Relationship Type="http://schemas.openxmlformats.org/officeDocument/2006/relationships/hyperlink" Target="https://github.com/deepseek-ai/DeepEP" TargetMode="External" Id="rId277"/><Relationship Type="http://schemas.openxmlformats.org/officeDocument/2006/relationships/hyperlink" Target="https://github.com/onnx/onnx" TargetMode="External" Id="rId278"/><Relationship Type="http://schemas.openxmlformats.org/officeDocument/2006/relationships/hyperlink" Target="https://github.com/huggingface/safetensors" TargetMode="External" Id="rId279"/><Relationship Type="http://schemas.openxmlformats.org/officeDocument/2006/relationships/hyperlink" Target="https://mlcommons.org/benchmarks/" TargetMode="External" Id="rId280"/><Relationship Type="http://schemas.openxmlformats.org/officeDocument/2006/relationships/hyperlink" Target="https://epoch.ai/data/machine-learning-hardware" TargetMode="External" Id="rId281"/><Relationship Type="http://schemas.openxmlformats.org/officeDocument/2006/relationships/hyperlink" Target="https://huggingface.co/blog/vlms-2025" TargetMode="External" Id="rId282"/><Relationship Type="http://schemas.openxmlformats.org/officeDocument/2006/relationships/hyperlink" Target="https://github.com/haotian-liu/LLaVA" TargetMode="External" Id="rId283"/><Relationship Type="http://schemas.openxmlformats.org/officeDocument/2006/relationships/hyperlink" Target="https://arxiv.org/abs/2502.14786" TargetMode="External" Id="rId284"/><Relationship Type="http://schemas.openxmlformats.org/officeDocument/2006/relationships/hyperlink" Target="https://github.com/QwenLM/Qwen3-VL" TargetMode="External" Id="rId285"/><Relationship Type="http://schemas.openxmlformats.org/officeDocument/2006/relationships/hyperlink" Target="https://github.com/OpenGVLab/InternVL" TargetMode="External" Id="rId286"/><Relationship Type="http://schemas.openxmlformats.org/officeDocument/2006/relationships/hyperlink" Target="https://huggingface.co/blog/smolvlm" TargetMode="External" Id="rId287"/><Relationship Type="http://schemas.openxmlformats.org/officeDocument/2006/relationships/hyperlink" Target="https://www.bentoml.com/blog/multimodal-ai-a-guide-to-open-source-vision-language-models" TargetMode="External" Id="rId288"/><Relationship Type="http://schemas.openxmlformats.org/officeDocument/2006/relationships/hyperlink" Target="https://arxiv.org/abs/2307.06304" TargetMode="External" Id="rId289"/><Relationship Type="http://schemas.openxmlformats.org/officeDocument/2006/relationships/hyperlink" Target="https://openai.com/index/thinking-with-images/" TargetMode="External" Id="rId290"/><Relationship Type="http://schemas.openxmlformats.org/officeDocument/2006/relationships/hyperlink" Target="https://github.com/deepseek-ai/DeepSeek-OCR" TargetMode="External" Id="rId291"/><Relationship Type="http://schemas.openxmlformats.org/officeDocument/2006/relationships/hyperlink" Target="https://github.com/allenai/olmocr" TargetMode="External" Id="rId292"/><Relationship Type="http://schemas.openxmlformats.org/officeDocument/2006/relationships/hyperlink" Target="https://github.com/docling-project/docling" TargetMode="External" Id="rId293"/><Relationship Type="http://schemas.openxmlformats.org/officeDocument/2006/relationships/hyperlink" Target="https://github.com/PaddlePaddle/PaddleOCR" TargetMode="External" Id="rId294"/><Relationship Type="http://schemas.openxmlformats.org/officeDocument/2006/relationships/hyperlink" Target="https://github.com/illuin-tech/colpali" TargetMode="External" Id="rId295"/><Relationship Type="http://schemas.openxmlformats.org/officeDocument/2006/relationships/hyperlink" Target="https://github.com/bytedance/UI-TARS" TargetMode="External" Id="rId296"/><Relationship Type="http://schemas.openxmlformats.org/officeDocument/2006/relationships/hyperlink" Target="https://github.com/microsoft/OmniParser" TargetMode="External" Id="rId297"/><Relationship Type="http://schemas.openxmlformats.org/officeDocument/2006/relationships/hyperlink" Target="https://github.com/QwenLM/Qwen3-Omni" TargetMode="External" Id="rId298"/><Relationship Type="http://schemas.openxmlformats.org/officeDocument/2006/relationships/hyperlink" Target="https://github.com/kyutai-labs/moshi" TargetMode="External" Id="rId299"/><Relationship Type="http://schemas.openxmlformats.org/officeDocument/2006/relationships/hyperlink" Target="https://platform.openai.com/docs/guides/realtime" TargetMode="External" Id="rId300"/><Relationship Type="http://schemas.openxmlformats.org/officeDocument/2006/relationships/hyperlink" Target="https://github.com/pipecat-ai/pipecat" TargetMode="External" Id="rId301"/><Relationship Type="http://schemas.openxmlformats.org/officeDocument/2006/relationships/hyperlink" Target="https://github.com/livekit/agents" TargetMode="External" Id="rId302"/><Relationship Type="http://schemas.openxmlformats.org/officeDocument/2006/relationships/hyperlink" Target="https://github.com/openai/whisper" TargetMode="External" Id="rId303"/><Relationship Type="http://schemas.openxmlformats.org/officeDocument/2006/relationships/hyperlink" Target="https://openai.com/index/introducing-4o-image-generation/" TargetMode="External" Id="rId304"/><Relationship Type="http://schemas.openxmlformats.org/officeDocument/2006/relationships/hyperlink" Target="https://developers.googleblog.com/en/introducing-gemini-2-5-flash-image/" TargetMode="External" Id="rId305"/><Relationship Type="http://schemas.openxmlformats.org/officeDocument/2006/relationships/hyperlink" Target="https://mmmu-benchmark.github.io" TargetMode="External" Id="rId306"/><Relationship Type="http://schemas.openxmlformats.org/officeDocument/2006/relationships/hyperlink" Target="https://github.com/open-compass/VLMEvalKit" TargetMode="External" Id="rId307"/><Relationship Type="http://schemas.openxmlformats.org/officeDocument/2006/relationships/hyperlink" Target="https://github.com/EvolvingLMMs-Lab/lmms-eval" TargetMode="External" Id="rId308"/><Relationship Type="http://schemas.openxmlformats.org/officeDocument/2006/relationships/hyperlink" Target="https://github.com/Physical-Intelligence/openpi" TargetMode="External" Id="rId309"/><Relationship Type="http://schemas.openxmlformats.org/officeDocument/2006/relationships/hyperlink" Target="https://github.com/NVIDIA/Isaac-GR00T" TargetMode="External" Id="rId310"/><Relationship Type="http://schemas.openxmlformats.org/officeDocument/2006/relationships/hyperlink" Target="https://github.com/openvla/openvla" TargetMode="External" Id="rId311"/><Relationship Type="http://schemas.openxmlformats.org/officeDocument/2006/relationships/hyperlink" Target="https://github.com/huggingface/lerobot" TargetMode="External" Id="rId312"/><Relationship Type="http://schemas.openxmlformats.org/officeDocument/2006/relationships/hyperlink" Target="https://deepmind.google/models/gemini-robotics/" TargetMode="External" Id="rId313"/><Relationship Type="http://schemas.openxmlformats.org/officeDocument/2006/relationships/hyperlink" Target="https://metavert.io/world-models-for-robotics" TargetMode="External" Id="rId314"/><Relationship Type="http://schemas.openxmlformats.org/officeDocument/2006/relationships/hyperlink" Target="https://deepmind.google/discover/blog/genie-3-a-new-frontier-for-world-models/" TargetMode="External" Id="rId315"/><Relationship Type="http://schemas.openxmlformats.org/officeDocument/2006/relationships/hyperlink" Target="https://github.com/nvidia-cosmos" TargetMode="External" Id="rId316"/><Relationship Type="http://schemas.openxmlformats.org/officeDocument/2006/relationships/hyperlink" Target="https://marble.worldlabs.ai" TargetMode="External" Id="rId317"/><Relationship Type="http://schemas.openxmlformats.org/officeDocument/2006/relationships/hyperlink" Target="https://github.com/facebookresearch/vjepa2" TargetMode="External" Id="rId318"/><Relationship Type="http://schemas.openxmlformats.org/officeDocument/2006/relationships/hyperlink" Target="https://venturebeat.com/technology/four-ai-research-trends-enterprise-teams-should-watch-in-2026" TargetMode="External" Id="rId319"/><Relationship Type="http://schemas.openxmlformats.org/officeDocument/2006/relationships/hyperlink" Target="https://github.com/isaac-sim/IsaacLab" TargetMode="External" Id="rId320"/><Relationship Type="http://schemas.openxmlformats.org/officeDocument/2006/relationships/hyperlink" Target="https://github.com/google-deepmind/mujoco" TargetMode="External" Id="rId321"/><Relationship Type="http://schemas.openxmlformats.org/officeDocument/2006/relationships/hyperlink" Target="https://arxiv.org/abs/2212.09748" TargetMode="External" Id="rId322"/><Relationship Type="http://schemas.openxmlformats.org/officeDocument/2006/relationships/hyperlink" Target="https://arxiv.org/abs/2210.02747" TargetMode="External" Id="rId323"/><Relationship Type="http://schemas.openxmlformats.org/officeDocument/2006/relationships/hyperlink" Target="https://github.com/black-forest-labs/flux" TargetMode="External" Id="rId324"/><Relationship Type="http://schemas.openxmlformats.org/officeDocument/2006/relationships/hyperlink" Target="https://github.com/comfyanonymous/ComfyUI" TargetMode="External" Id="rId325"/><Relationship Type="http://schemas.openxmlformats.org/officeDocument/2006/relationships/hyperlink" Target="https://openai.com/index/sora-2/" TargetMode="External" Id="rId326"/><Relationship Type="http://schemas.openxmlformats.org/officeDocument/2006/relationships/hyperlink" Target="https://deepmind.google/models/veo/" TargetMode="External" Id="rId327"/><Relationship Type="http://schemas.openxmlformats.org/officeDocument/2006/relationships/hyperlink" Target="https://github.com/Wan-Video/Wan2.2" TargetMode="External" Id="rId328"/><Relationship Type="http://schemas.openxmlformats.org/officeDocument/2006/relationships/hyperlink" Target="https://deepmind.google/discover/blog/alphaevolve-a-gemini-powered-coding-agent-for-designing-advanced-algorithms/" TargetMode="External" Id="rId329"/><Relationship Type="http://schemas.openxmlformats.org/officeDocument/2006/relationships/hyperlink" Target="https://github.com/codelion/openevolve" TargetMode="External" Id="rId330"/><Relationship Type="http://schemas.openxmlformats.org/officeDocument/2006/relationships/hyperlink" Target="https://github.com/google-deepmind/alphafold3" TargetMode="External" Id="rId331"/><Relationship Type="http://schemas.openxmlformats.org/officeDocument/2006/relationships/hyperlink" Target="https://arxiv.org/abs/2606.10402" TargetMode="External" Id="rId332"/><Relationship Type="http://schemas.openxmlformats.org/officeDocument/2006/relationships/hyperlink" Target="https://github.com/EleutherAI/lm-evaluation-harness" TargetMode="External" Id="rId333"/><Relationship Type="http://schemas.openxmlformats.org/officeDocument/2006/relationships/hyperlink" Target="https://github.com/UKGovernmentBEIS/inspect_ai" TargetMode="External" Id="rId334"/><Relationship Type="http://schemas.openxmlformats.org/officeDocument/2006/relationships/hyperlink" Target="https://github.com/UKGovernmentBEIS/inspect_evals" TargetMode="External" Id="rId335"/><Relationship Type="http://schemas.openxmlformats.org/officeDocument/2006/relationships/hyperlink" Target="https://github.com/huggingface/lighteval" TargetMode="External" Id="rId336"/><Relationship Type="http://schemas.openxmlformats.org/officeDocument/2006/relationships/hyperlink" Target="https://github.com/promptfoo/promptfoo" TargetMode="External" Id="rId337"/><Relationship Type="http://schemas.openxmlformats.org/officeDocument/2006/relationships/hyperlink" Target="https://arcprize.org/blog/arc-agi-3-launch" TargetMode="External" Id="rId338"/><Relationship Type="http://schemas.openxmlformats.org/officeDocument/2006/relationships/hyperlink" Target="https://arxiv.org/abs/2306.05685" TargetMode="External" Id="rId339"/><Relationship Type="http://schemas.openxmlformats.org/officeDocument/2006/relationships/hyperlink" Target="https://www.swebench.com" TargetMode="External" Id="rId340"/><Relationship Type="http://schemas.openxmlformats.org/officeDocument/2006/relationships/hyperlink" Target="https://scale.com/leaderboard/swe_bench_pro_public" TargetMode="External" Id="rId341"/><Relationship Type="http://schemas.openxmlformats.org/officeDocument/2006/relationships/hyperlink" Target="https://www.tbench.ai" TargetMode="External" Id="rId342"/><Relationship Type="http://schemas.openxmlformats.org/officeDocument/2006/relationships/hyperlink" Target="https://arcprize.org/blog/arc-agi-3-launch" TargetMode="External" Id="rId343"/><Relationship Type="http://schemas.openxmlformats.org/officeDocument/2006/relationships/hyperlink" Target="https://arcprize.org" TargetMode="External" Id="rId344"/><Relationship Type="http://schemas.openxmlformats.org/officeDocument/2006/relationships/hyperlink" Target="https://www.datacamp.com/blog/arc-agi-3" TargetMode="External" Id="rId345"/><Relationship Type="http://schemas.openxmlformats.org/officeDocument/2006/relationships/hyperlink" Target="https://github.com/sierra-research/tau2-bench" TargetMode="External" Id="rId346"/><Relationship Type="http://schemas.openxmlformats.org/officeDocument/2006/relationships/hyperlink" Target="https://os-world.github.io" TargetMode="External" Id="rId347"/><Relationship Type="http://schemas.openxmlformats.org/officeDocument/2006/relationships/hyperlink" Target="https://openai.com/index/browsecomp/" TargetMode="External" Id="rId348"/><Relationship Type="http://schemas.openxmlformats.org/officeDocument/2006/relationships/hyperlink" Target="https://lastexam.ai" TargetMode="External" Id="rId349"/><Relationship Type="http://schemas.openxmlformats.org/officeDocument/2006/relationships/hyperlink" Target="https://github.com/idavidrein/gpqa" TargetMode="External" Id="rId350"/><Relationship Type="http://schemas.openxmlformats.org/officeDocument/2006/relationships/hyperlink" Target="https://epoch.ai/frontiermath" TargetMode="External" Id="rId351"/><Relationship Type="http://schemas.openxmlformats.org/officeDocument/2006/relationships/hyperlink" Target="https://openai.com/index/gdpval/" TargetMode="External" Id="rId352"/><Relationship Type="http://schemas.openxmlformats.org/officeDocument/2006/relationships/hyperlink" Target="https://metr.org/blog/2025-03-19-measuring-ai-ability-to-complete-long-tasks/" TargetMode="External" Id="rId353"/><Relationship Type="http://schemas.openxmlformats.org/officeDocument/2006/relationships/hyperlink" Target="https://lmarena.ai" TargetMode="External" Id="rId354"/><Relationship Type="http://schemas.openxmlformats.org/officeDocument/2006/relationships/hyperlink" Target="https://epoch.ai/benchmarks" TargetMode="External" Id="rId355"/><Relationship Type="http://schemas.openxmlformats.org/officeDocument/2006/relationships/hyperlink" Target="https://artificialanalysis.ai" TargetMode="External" Id="rId356"/><Relationship Type="http://schemas.openxmlformats.org/officeDocument/2006/relationships/hyperlink" Target="https://epoch.ai/benchmarks" TargetMode="External" Id="rId357"/><Relationship Type="http://schemas.openxmlformats.org/officeDocument/2006/relationships/hyperlink" Target="https://www.anthropic.com/responsible-scaling-policy" TargetMode="External" Id="rId358"/><Relationship Type="http://schemas.openxmlformats.org/officeDocument/2006/relationships/hyperlink" Target="https://openai.com/index/updating-our-preparedness-framework/" TargetMode="External" Id="rId359"/><Relationship Type="http://schemas.openxmlformats.org/officeDocument/2006/relationships/hyperlink" Target="https://openai.com/index/path-to-astra/" TargetMode="External" Id="rId360"/><Relationship Type="http://schemas.openxmlformats.org/officeDocument/2006/relationships/hyperlink" Target="https://metr.org/faisc" TargetMode="External" Id="rId361"/><Relationship Type="http://schemas.openxmlformats.org/officeDocument/2006/relationships/hyperlink" Target="https://www.anthropic.com/glasswing" TargetMode="External" Id="rId362"/><Relationship Type="http://schemas.openxmlformats.org/officeDocument/2006/relationships/hyperlink" Target="https://www.anthropic.com/news/fable-mythos-access" TargetMode="External" Id="rId363"/><Relationship Type="http://schemas.openxmlformats.org/officeDocument/2006/relationships/hyperlink" Target="https://simonwillison.net/2025/Jun/16/the-lethal-trifecta/" TargetMode="External" Id="rId364"/><Relationship Type="http://schemas.openxmlformats.org/officeDocument/2006/relationships/hyperlink" Target="https://simonwillison.net/series/prompt-injection/" TargetMode="External" Id="rId365"/><Relationship Type="http://schemas.openxmlformats.org/officeDocument/2006/relationships/hyperlink" Target="https://arxiv.org/abs/2503.18813" TargetMode="External" Id="rId366"/><Relationship Type="http://schemas.openxmlformats.org/officeDocument/2006/relationships/hyperlink" Target="https://invariantlabs.ai/blog/mcp-security-notification-tool-poisoning-attacks" TargetMode="External" Id="rId367"/><Relationship Type="http://schemas.openxmlformats.org/officeDocument/2006/relationships/hyperlink" Target="https://genai.owasp.org/llm-top-10/" TargetMode="External" Id="rId368"/><Relationship Type="http://schemas.openxmlformats.org/officeDocument/2006/relationships/hyperlink" Target="https://www.anthropic.com/research/constitutional-classifiers" TargetMode="External" Id="rId369"/><Relationship Type="http://schemas.openxmlformats.org/officeDocument/2006/relationships/hyperlink" Target="https://github.com/NVIDIA/NeMo-Guardrails" TargetMode="External" Id="rId370"/><Relationship Type="http://schemas.openxmlformats.org/officeDocument/2006/relationships/hyperlink" Target="https://github.com/guardrails-ai/guardrails" TargetMode="External" Id="rId371"/><Relationship Type="http://schemas.openxmlformats.org/officeDocument/2006/relationships/hyperlink" Target="https://transformer-circuits.pub" TargetMode="External" Id="rId372"/><Relationship Type="http://schemas.openxmlformats.org/officeDocument/2006/relationships/hyperlink" Target="https://transformer-circuits.pub/2025/attribution-graphs/methods.html" TargetMode="External" Id="rId373"/><Relationship Type="http://schemas.openxmlformats.org/officeDocument/2006/relationships/hyperlink" Target="https://github.com/safety-research/circuit-tracer" TargetMode="External" Id="rId374"/><Relationship Type="http://schemas.openxmlformats.org/officeDocument/2006/relationships/hyperlink" Target="https://www.neuronpedia.org" TargetMode="External" Id="rId375"/><Relationship Type="http://schemas.openxmlformats.org/officeDocument/2006/relationships/hyperlink" Target="https://github.com/TransformerLensOrg/TransformerLens" TargetMode="External" Id="rId376"/><Relationship Type="http://schemas.openxmlformats.org/officeDocument/2006/relationships/hyperlink" Target="https://github.com/ndif-team/nnsight" TargetMode="External" Id="rId377"/><Relationship Type="http://schemas.openxmlformats.org/officeDocument/2006/relationships/hyperlink" Target="https://www.anthropic.com/research/persona-vectors" TargetMode="External" Id="rId378"/><Relationship Type="http://schemas.openxmlformats.org/officeDocument/2006/relationships/hyperlink" Target="https://www.anthropic.com/research/introspection" TargetMode="External" Id="rId379"/><Relationship Type="http://schemas.openxmlformats.org/officeDocument/2006/relationships/hyperlink" Target="https://arxiv.org/abs/2507.11473" TargetMode="External" Id="rId380"/><Relationship Type="http://schemas.openxmlformats.org/officeDocument/2006/relationships/hyperlink" Target="https://deploymentsafety.openai.com/gpt-6-astra" TargetMode="External" Id="rId381"/><Relationship Type="http://schemas.openxmlformats.org/officeDocument/2006/relationships/hyperlink" Target="https://www.anthropic.com/research/alignment-faking" TargetMode="External" Id="rId382"/><Relationship Type="http://schemas.openxmlformats.org/officeDocument/2006/relationships/hyperlink" Target="https://www.anthropic.com/research/agentic-misalignment" TargetMode="External" Id="rId383"/><Relationship Type="http://schemas.openxmlformats.org/officeDocument/2006/relationships/hyperlink" Target="https://arxiv.org/abs/2502.17424" TargetMode="External" Id="rId384"/><Relationship Type="http://schemas.openxmlformats.org/officeDocument/2006/relationships/hyperlink" Target="https://www.apolloresearch.ai" TargetMode="External" Id="rId385"/><Relationship Type="http://schemas.openxmlformats.org/officeDocument/2006/relationships/hyperlink" Target="https://www.anthropic.com/research/exploring-model-welfare" TargetMode="External" Id="rId386"/><Relationship Type="http://schemas.openxmlformats.org/officeDocument/2006/relationships/hyperlink" Target="https://artificialintelligenceact.eu" TargetMode="External" Id="rId387"/><Relationship Type="http://schemas.openxmlformats.org/officeDocument/2006/relationships/hyperlink" Target="https://digital-strategy.ec.europa.eu/en/policies/contents-code-gpai" TargetMode="External" Id="rId388"/><Relationship Type="http://schemas.openxmlformats.org/officeDocument/2006/relationships/hyperlink" Target="https://www.modulos.ai/blog/eu-ai-act-omnibus-deal" TargetMode="External" Id="rId389"/><Relationship Type="http://schemas.openxmlformats.org/officeDocument/2006/relationships/hyperlink" Target="https://www.nist.gov/itl/ai-risk-management-framework" TargetMode="External" Id="rId390"/><Relationship Type="http://schemas.openxmlformats.org/officeDocument/2006/relationships/hyperlink" Target="https://www.iso.org/standard/81230.html" TargetMode="External" Id="rId391"/><Relationship Type="http://schemas.openxmlformats.org/officeDocument/2006/relationships/hyperlink" Target="https://leginfo.legislature.ca.gov/faces/billNavClient.xhtml?bill_id=202520260SB53" TargetMode="External" Id="rId392"/><Relationship Type="http://schemas.openxmlformats.org/officeDocument/2006/relationships/hyperlink" Target="https://www.aisi.gov.uk" TargetMode="External" Id="rId393"/><Relationship Type="http://schemas.openxmlformats.org/officeDocument/2006/relationships/hyperlink" Target="https://www.nist.gov/caisi" TargetMode="External" Id="rId394"/><Relationship Type="http://schemas.openxmlformats.org/officeDocument/2006/relationships/hyperlink" Target="https://c2pa.org" TargetMode="External" Id="rId395"/><Relationship Type="http://schemas.openxmlformats.org/officeDocument/2006/relationships/hyperlink" Target="https://deepmind.google/models/synthid/" TargetMode="External" Id="rId396"/><Relationship Type="http://schemas.openxmlformats.org/officeDocument/2006/relationships/hyperlink" Target="https://en.wikipedia.org/wiki/Forward_Deployed_Engineer" TargetMode="External" Id="rId397"/><Relationship Type="http://schemas.openxmlformats.org/officeDocument/2006/relationships/hyperlink" Target="https://alexeyondata.substack.com/p/what-ai-forward-deployed-engineers" TargetMode="External" Id="rId398"/><Relationship Type="http://schemas.openxmlformats.org/officeDocument/2006/relationships/hyperlink" Target="https://www.marktechpost.com/2026/05/20/what-is-a-forward-deployed-engineer-the-ai-role-openai-anthropic-and-google-are-hiring-in-2026/" TargetMode="External" Id="rId399"/><Relationship Type="http://schemas.openxmlformats.org/officeDocument/2006/relationships/hyperlink" Target="https://theaiengineer.substack.com/p/what-is-a-forward-deployed-engineer" TargetMode="External" Id="rId400"/><Relationship Type="http://schemas.openxmlformats.org/officeDocument/2006/relationships/hyperlink" Target="https://aishwaryasrinivasan.substack.com/p/the-hottest-role-in-2026-forward" TargetMode="External" Id="rId401"/><Relationship Type="http://schemas.openxmlformats.org/officeDocument/2006/relationships/hyperlink" Target="https://www.latent.space/p/ai-engineer" TargetMode="External" Id="rId402"/><Relationship Type="http://schemas.openxmlformats.org/officeDocument/2006/relationships/hyperlink" Target="https://github.com/chiphuyen/aie-book" TargetMode="External" Id="rId403"/><Relationship Type="http://schemas.openxmlformats.org/officeDocument/2006/relationships/hyperlink" Target="https://ijonis.com/en/forward-deployed-engineer-explained" TargetMode="External" Id="rId404"/><Relationship Type="http://schemas.openxmlformats.org/officeDocument/2006/relationships/hyperlink" Target="https://docs.claude.com/en/docs/build-with-claude/prompt-engineering/overview" TargetMode="External" Id="rId405"/><Relationship Type="http://schemas.openxmlformats.org/officeDocument/2006/relationships/hyperlink" Target="https://github.com/stanfordnlp/dspy" TargetMode="External" Id="rId406"/><Relationship Type="http://schemas.openxmlformats.org/officeDocument/2006/relationships/hyperlink" Target="https://github.com/gepa-ai/gepa" TargetMode="External" Id="rId407"/><Relationship Type="http://schemas.openxmlformats.org/officeDocument/2006/relationships/hyperlink" Target="https://hamel.dev/blog/posts/evals/" TargetMode="External" Id="rId408"/><Relationship Type="http://schemas.openxmlformats.org/officeDocument/2006/relationships/hyperlink" Target="https://github.com/langfuse/langfuse" TargetMode="External" Id="rId409"/><Relationship Type="http://schemas.openxmlformats.org/officeDocument/2006/relationships/hyperlink" Target="https://github.com/Arize-ai/phoenix" TargetMode="External" Id="rId410"/><Relationship Type="http://schemas.openxmlformats.org/officeDocument/2006/relationships/hyperlink" Target="https://opentelemetry.io/docs/specs/semconv/gen-ai/" TargetMode="External" Id="rId411"/><Relationship Type="http://schemas.openxmlformats.org/officeDocument/2006/relationships/hyperlink" Target="https://github.com/humanlayer/12-factor-agents" TargetMode="External" Id="rId412"/><Relationship Type="http://schemas.openxmlformats.org/officeDocument/2006/relationships/hyperlink" Target="https://opensource.org/ai/open-source-ai-definition" TargetMode="External" Id="rId413"/><Relationship Type="http://schemas.openxmlformats.org/officeDocument/2006/relationships/hyperlink" Target="https://allenai.org/olmo" TargetMode="External" Id="rId414"/><Relationship Type="http://schemas.openxmlformats.org/officeDocument/2006/relationships/hyperlink" Target="https://lilianweng.github.io" TargetMode="External" Id="rId415"/><Relationship Type="http://schemas.openxmlformats.org/officeDocument/2006/relationships/hyperlink" Target="https://magazine.sebastianraschka.com" TargetMode="External" Id="rId416"/><Relationship Type="http://schemas.openxmlformats.org/officeDocument/2006/relationships/hyperlink" Target="https://www.interconnects.ai" TargetMode="External" Id="rId417"/><Relationship Type="http://schemas.openxmlformats.org/officeDocument/2006/relationships/hyperlink" Target="https://simonwillison.net" TargetMode="External" Id="rId418"/><Relationship Type="http://schemas.openxmlformats.org/officeDocument/2006/relationships/hyperlink" Target="https://www.latent.space" TargetMode="External" Id="rId419"/><Relationship Type="http://schemas.openxmlformats.org/officeDocument/2006/relationships/hyperlink" Target="https://www.anthropic.com/engineering" TargetMode="External" Id="rId420"/><Relationship Type="http://schemas.openxmlformats.org/officeDocument/2006/relationships/hyperlink" Target="https://karpathy.ai/zero-to-hero.html" TargetMode="External" Id="rId421"/><Relationship Type="http://schemas.openxmlformats.org/officeDocument/2006/relationships/hyperlink" Target="https://stanford-cs336.github.io" TargetMode="External" Id="rId422"/><Relationship Type="http://schemas.openxmlformats.org/officeDocument/2006/relationships/hyperlink" Target="https://huggingface.co/learn/llm-course" TargetMode="External" Id="rId423"/><Relationship Type="http://schemas.openxmlformats.org/officeDocument/2006/relationships/hyperlink" Target="https://rlhfbook.com/teach/course/conversation-01/" TargetMode="External" Id="rId424"/><Relationship Type="http://schemas.openxmlformats.org/officeDocument/2006/relationships/hyperlink" Target="https://www.stateof.ai" TargetMode="External" Id="rId425"/><Relationship Type="http://schemas.openxmlformats.org/officeDocument/2006/relationships/hyperlink" Target="https://hai.stanford.edu/ai-index" TargetMode="External" Id="rId426"/><Relationship Type="http://schemas.openxmlformats.org/officeDocument/2006/relationships/hyperlink" Target="https://epoch.ai" TargetMode="External" Id="rId427"/><Relationship Type="http://schemas.openxmlformats.org/officeDocument/2006/relationships/hyperlink" Target="https://github.com/ai-boost/awesome-harness-engineering" TargetMode="External" Id="rId428"/><Relationship Type="http://schemas.openxmlformats.org/officeDocument/2006/relationships/hyperlink" Target="https://github.com/AutoJunjie/awesome-agent-harness" TargetMode="External" Id="rId429"/><Relationship Type="http://schemas.openxmlformats.org/officeDocument/2006/relationships/hyperlink" Target="https://github.com/modelcontextprotocol/servers" TargetMode="External" Id="rId430"/><Relationship Type="http://schemas.openxmlformats.org/officeDocument/2006/relationships/table" Target="/xl/tables/table2.xml" Id="rId431"/></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The Modern AI Concept Book</t>
        </is>
      </c>
    </row>
    <row r="2">
      <c r="A2" s="2" t="inlineStr">
        <is>
          <t>Edition 2 · September 2026 · current to September 20, 2026</t>
        </is>
      </c>
    </row>
    <row r="3">
      <c r="A3" s="3" t="inlineStr"/>
    </row>
    <row r="4">
      <c r="A4" s="4" t="inlineStr">
        <is>
          <t>How to filter</t>
        </is>
      </c>
    </row>
    <row r="5">
      <c r="A5" s="3" t="inlineStr">
        <is>
          <t>Concepts sheet: one row per concept. Use the filter arrows on the header row to filter by Category, Since (year emerged), Status, Level or any Tag column (Yes/blank).</t>
        </is>
      </c>
    </row>
    <row r="6">
      <c r="A6" s="3" t="inlineStr">
        <is>
          <t>Resources sheet: one row per resource link. Filter by Year, Type, Category, Level or Concept; click a URL to open it.</t>
        </is>
      </c>
    </row>
    <row r="7">
      <c r="A7" s="3" t="inlineStr">
        <is>
          <t>Summary sheet: live counts by category, by year of emergence and by resource type/year (formulas recalculate if you add rows).</t>
        </is>
      </c>
    </row>
    <row r="8">
      <c r="A8" s="3" t="inlineStr"/>
    </row>
    <row r="9">
      <c r="A9" s="4" t="inlineStr">
        <is>
          <t>Column notes</t>
        </is>
      </c>
    </row>
    <row r="10">
      <c r="A10" s="3" t="inlineStr">
        <is>
          <t>Since = year the concept emerged. Active until = latest year of major change. Status: New in 2026, Active in 2026, or Established.</t>
        </is>
      </c>
    </row>
    <row r="11">
      <c r="A11" s="3" t="inlineStr">
        <is>
          <t>Resource Year = publication year of an article, paper or spec, or launch year of a repository or site (approximate for long-running projects).</t>
        </is>
      </c>
    </row>
    <row r="12">
      <c r="A12" s="3" t="inlineStr">
        <is>
          <t>Chapter 1 (Frontier Landscape) reflects public reporting as of September 20, 2026 and will date quickly.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s>
  <sheetData>
    <row r="1">
      <c r="A1" s="5" t="inlineStr">
        <is>
          <t>Live counts (recalculate automatically)</t>
        </is>
      </c>
    </row>
    <row r="2">
      <c r="A2" s="6" t="n"/>
      <c r="B2" s="6" t="n"/>
      <c r="C2" s="6" t="n"/>
      <c r="D2" s="6" t="n"/>
      <c r="E2" s="6" t="n"/>
      <c r="F2" s="6" t="n"/>
    </row>
    <row r="3">
      <c r="A3" s="7" t="inlineStr">
        <is>
          <t>Category</t>
        </is>
      </c>
      <c r="B3" s="7" t="inlineStr">
        <is>
          <t>Concepts</t>
        </is>
      </c>
      <c r="C3" s="7" t="inlineStr">
        <is>
          <t>New in 2026</t>
        </is>
      </c>
      <c r="D3" s="7" t="inlineStr">
        <is>
          <t>Active in 2026</t>
        </is>
      </c>
      <c r="E3" s="7" t="inlineStr">
        <is>
          <t>Resources</t>
        </is>
      </c>
      <c r="F3" s="6" t="n"/>
    </row>
    <row r="4">
      <c r="A4" s="6" t="inlineStr">
        <is>
          <t>01. The Frontier Landscape (September 2026)</t>
        </is>
      </c>
      <c r="B4" s="6">
        <f>COUNTIFS(Concepts!$D:$D,$A4)</f>
        <v/>
      </c>
      <c r="C4" s="6">
        <f>COUNTIFS(Concepts!$D:$D,$A4,Concepts!$G:$G,"New in 2026")</f>
        <v/>
      </c>
      <c r="D4" s="6">
        <f>COUNTIFS(Concepts!$D:$D,$A4,Concepts!$G:$G,"&lt;&gt;Established")</f>
        <v/>
      </c>
      <c r="E4" s="6">
        <f>COUNTIFS(Resources!$F:$F,$A4)</f>
        <v/>
      </c>
      <c r="F4" s="6" t="n"/>
    </row>
    <row r="5">
      <c r="A5" s="6" t="inlineStr">
        <is>
          <t>02. Agents and Harnesses</t>
        </is>
      </c>
      <c r="B5" s="6">
        <f>COUNTIFS(Concepts!$D:$D,$A5)</f>
        <v/>
      </c>
      <c r="C5" s="6">
        <f>COUNTIFS(Concepts!$D:$D,$A5,Concepts!$G:$G,"New in 2026")</f>
        <v/>
      </c>
      <c r="D5" s="6">
        <f>COUNTIFS(Concepts!$D:$D,$A5,Concepts!$G:$G,"&lt;&gt;Established")</f>
        <v/>
      </c>
      <c r="E5" s="6">
        <f>COUNTIFS(Resources!$F:$F,$A5)</f>
        <v/>
      </c>
      <c r="F5" s="6" t="n"/>
    </row>
    <row r="6">
      <c r="A6" s="6" t="inlineStr">
        <is>
          <t>03. Protocols and Interoperability Standards</t>
        </is>
      </c>
      <c r="B6" s="6">
        <f>COUNTIFS(Concepts!$D:$D,$A6)</f>
        <v/>
      </c>
      <c r="C6" s="6">
        <f>COUNTIFS(Concepts!$D:$D,$A6,Concepts!$G:$G,"New in 2026")</f>
        <v/>
      </c>
      <c r="D6" s="6">
        <f>COUNTIFS(Concepts!$D:$D,$A6,Concepts!$G:$G,"&lt;&gt;Established")</f>
        <v/>
      </c>
      <c r="E6" s="6">
        <f>COUNTIFS(Resources!$F:$F,$A6)</f>
        <v/>
      </c>
      <c r="F6" s="6" t="n"/>
    </row>
    <row r="7">
      <c r="A7" s="6" t="inlineStr">
        <is>
          <t>04. Agentic Coding and Developer Workflow</t>
        </is>
      </c>
      <c r="B7" s="6">
        <f>COUNTIFS(Concepts!$D:$D,$A7)</f>
        <v/>
      </c>
      <c r="C7" s="6">
        <f>COUNTIFS(Concepts!$D:$D,$A7,Concepts!$G:$G,"New in 2026")</f>
        <v/>
      </c>
      <c r="D7" s="6">
        <f>COUNTIFS(Concepts!$D:$D,$A7,Concepts!$G:$G,"&lt;&gt;Established")</f>
        <v/>
      </c>
      <c r="E7" s="6">
        <f>COUNTIFS(Resources!$F:$F,$A7)</f>
        <v/>
      </c>
      <c r="F7" s="6" t="n"/>
    </row>
    <row r="8">
      <c r="A8" s="6" t="inlineStr">
        <is>
          <t>05. Context, Memory and Retrieval</t>
        </is>
      </c>
      <c r="B8" s="6">
        <f>COUNTIFS(Concepts!$D:$D,$A8)</f>
        <v/>
      </c>
      <c r="C8" s="6">
        <f>COUNTIFS(Concepts!$D:$D,$A8,Concepts!$G:$G,"New in 2026")</f>
        <v/>
      </c>
      <c r="D8" s="6">
        <f>COUNTIFS(Concepts!$D:$D,$A8,Concepts!$G:$G,"&lt;&gt;Established")</f>
        <v/>
      </c>
      <c r="E8" s="6">
        <f>COUNTIFS(Resources!$F:$F,$A8)</f>
        <v/>
      </c>
      <c r="F8" s="6" t="n"/>
    </row>
    <row r="9">
      <c r="A9" s="6" t="inlineStr">
        <is>
          <t>06. Reasoning and Post-Training</t>
        </is>
      </c>
      <c r="B9" s="6">
        <f>COUNTIFS(Concepts!$D:$D,$A9)</f>
        <v/>
      </c>
      <c r="C9" s="6">
        <f>COUNTIFS(Concepts!$D:$D,$A9,Concepts!$G:$G,"New in 2026")</f>
        <v/>
      </c>
      <c r="D9" s="6">
        <f>COUNTIFS(Concepts!$D:$D,$A9,Concepts!$G:$G,"&lt;&gt;Established")</f>
        <v/>
      </c>
      <c r="E9" s="6">
        <f>COUNTIFS(Resources!$F:$F,$A9)</f>
        <v/>
      </c>
      <c r="F9" s="6" t="n"/>
    </row>
    <row r="10">
      <c r="A10" s="6" t="inlineStr">
        <is>
          <t>07. Model Architectures</t>
        </is>
      </c>
      <c r="B10" s="6">
        <f>COUNTIFS(Concepts!$D:$D,$A10)</f>
        <v/>
      </c>
      <c r="C10" s="6">
        <f>COUNTIFS(Concepts!$D:$D,$A10,Concepts!$G:$G,"New in 2026")</f>
        <v/>
      </c>
      <c r="D10" s="6">
        <f>COUNTIFS(Concepts!$D:$D,$A10,Concepts!$G:$G,"&lt;&gt;Established")</f>
        <v/>
      </c>
      <c r="E10" s="6">
        <f>COUNTIFS(Resources!$F:$F,$A10)</f>
        <v/>
      </c>
      <c r="F10" s="6" t="n"/>
    </row>
    <row r="11">
      <c r="A11" s="6" t="inlineStr">
        <is>
          <t>08. Training at Scale and Fine-Tuning</t>
        </is>
      </c>
      <c r="B11" s="6">
        <f>COUNTIFS(Concepts!$D:$D,$A11)</f>
        <v/>
      </c>
      <c r="C11" s="6">
        <f>COUNTIFS(Concepts!$D:$D,$A11,Concepts!$G:$G,"New in 2026")</f>
        <v/>
      </c>
      <c r="D11" s="6">
        <f>COUNTIFS(Concepts!$D:$D,$A11,Concepts!$G:$G,"&lt;&gt;Established")</f>
        <v/>
      </c>
      <c r="E11" s="6">
        <f>COUNTIFS(Resources!$F:$F,$A11)</f>
        <v/>
      </c>
      <c r="F11" s="6" t="n"/>
    </row>
    <row r="12">
      <c r="A12" s="6" t="inlineStr">
        <is>
          <t>09. Inference and Serving</t>
        </is>
      </c>
      <c r="B12" s="6">
        <f>COUNTIFS(Concepts!$D:$D,$A12)</f>
        <v/>
      </c>
      <c r="C12" s="6">
        <f>COUNTIFS(Concepts!$D:$D,$A12,Concepts!$G:$G,"New in 2026")</f>
        <v/>
      </c>
      <c r="D12" s="6">
        <f>COUNTIFS(Concepts!$D:$D,$A12,Concepts!$G:$G,"&lt;&gt;Established")</f>
        <v/>
      </c>
      <c r="E12" s="6">
        <f>COUNTIFS(Resources!$F:$F,$A12)</f>
        <v/>
      </c>
      <c r="F12" s="6" t="n"/>
    </row>
    <row r="13">
      <c r="A13" s="6" t="inlineStr">
        <is>
          <t>10. Quantization and Number Formats</t>
        </is>
      </c>
      <c r="B13" s="6">
        <f>COUNTIFS(Concepts!$D:$D,$A13)</f>
        <v/>
      </c>
      <c r="C13" s="6">
        <f>COUNTIFS(Concepts!$D:$D,$A13,Concepts!$G:$G,"New in 2026")</f>
        <v/>
      </c>
      <c r="D13" s="6">
        <f>COUNTIFS(Concepts!$D:$D,$A13,Concepts!$G:$G,"&lt;&gt;Established")</f>
        <v/>
      </c>
      <c r="E13" s="6">
        <f>COUNTIFS(Resources!$F:$F,$A13)</f>
        <v/>
      </c>
      <c r="F13" s="6" t="n"/>
    </row>
    <row r="14">
      <c r="A14" s="6" t="inlineStr">
        <is>
          <t>11. AI Hardware, Interconnect and Datacenter Standards</t>
        </is>
      </c>
      <c r="B14" s="6">
        <f>COUNTIFS(Concepts!$D:$D,$A14)</f>
        <v/>
      </c>
      <c r="C14" s="6">
        <f>COUNTIFS(Concepts!$D:$D,$A14,Concepts!$G:$G,"New in 2026")</f>
        <v/>
      </c>
      <c r="D14" s="6">
        <f>COUNTIFS(Concepts!$D:$D,$A14,Concepts!$G:$G,"&lt;&gt;Established")</f>
        <v/>
      </c>
      <c r="E14" s="6">
        <f>COUNTIFS(Resources!$F:$F,$A14)</f>
        <v/>
      </c>
      <c r="F14" s="6" t="n"/>
    </row>
    <row r="15">
      <c r="A15" s="6" t="inlineStr">
        <is>
          <t>12. Vision-Language and Multimodal Models</t>
        </is>
      </c>
      <c r="B15" s="6">
        <f>COUNTIFS(Concepts!$D:$D,$A15)</f>
        <v/>
      </c>
      <c r="C15" s="6">
        <f>COUNTIFS(Concepts!$D:$D,$A15,Concepts!$G:$G,"New in 2026")</f>
        <v/>
      </c>
      <c r="D15" s="6">
        <f>COUNTIFS(Concepts!$D:$D,$A15,Concepts!$G:$G,"&lt;&gt;Established")</f>
        <v/>
      </c>
      <c r="E15" s="6">
        <f>COUNTIFS(Resources!$F:$F,$A15)</f>
        <v/>
      </c>
      <c r="F15" s="6" t="n"/>
    </row>
    <row r="16">
      <c r="A16" s="6" t="inlineStr">
        <is>
          <t>13. Embodied AI, World Models and Generative Media</t>
        </is>
      </c>
      <c r="B16" s="6">
        <f>COUNTIFS(Concepts!$D:$D,$A16)</f>
        <v/>
      </c>
      <c r="C16" s="6">
        <f>COUNTIFS(Concepts!$D:$D,$A16,Concepts!$G:$G,"New in 2026")</f>
        <v/>
      </c>
      <c r="D16" s="6">
        <f>COUNTIFS(Concepts!$D:$D,$A16,Concepts!$G:$G,"&lt;&gt;Established")</f>
        <v/>
      </c>
      <c r="E16" s="6">
        <f>COUNTIFS(Resources!$F:$F,$A16)</f>
        <v/>
      </c>
      <c r="F16" s="6" t="n"/>
    </row>
    <row r="17">
      <c r="A17" s="6" t="inlineStr">
        <is>
          <t>14. Evaluation and Benchmarks</t>
        </is>
      </c>
      <c r="B17" s="6">
        <f>COUNTIFS(Concepts!$D:$D,$A17)</f>
        <v/>
      </c>
      <c r="C17" s="6">
        <f>COUNTIFS(Concepts!$D:$D,$A17,Concepts!$G:$G,"New in 2026")</f>
        <v/>
      </c>
      <c r="D17" s="6">
        <f>COUNTIFS(Concepts!$D:$D,$A17,Concepts!$G:$G,"&lt;&gt;Established")</f>
        <v/>
      </c>
      <c r="E17" s="6">
        <f>COUNTIFS(Resources!$F:$F,$A17)</f>
        <v/>
      </c>
      <c r="F17" s="6" t="n"/>
    </row>
    <row r="18">
      <c r="A18" s="6" t="inlineStr">
        <is>
          <t>15. Safety, Security, Interpretability and Governance</t>
        </is>
      </c>
      <c r="B18" s="6">
        <f>COUNTIFS(Concepts!$D:$D,$A18)</f>
        <v/>
      </c>
      <c r="C18" s="6">
        <f>COUNTIFS(Concepts!$D:$D,$A18,Concepts!$G:$G,"New in 2026")</f>
        <v/>
      </c>
      <c r="D18" s="6">
        <f>COUNTIFS(Concepts!$D:$D,$A18,Concepts!$G:$G,"&lt;&gt;Established")</f>
        <v/>
      </c>
      <c r="E18" s="6">
        <f>COUNTIFS(Resources!$F:$F,$A18)</f>
        <v/>
      </c>
      <c r="F18" s="6" t="n"/>
    </row>
    <row r="19">
      <c r="A19" s="6" t="inlineStr">
        <is>
          <t>16. Roles, Deployment and AI Engineering Practice</t>
        </is>
      </c>
      <c r="B19" s="6">
        <f>COUNTIFS(Concepts!$D:$D,$A19)</f>
        <v/>
      </c>
      <c r="C19" s="6">
        <f>COUNTIFS(Concepts!$D:$D,$A19,Concepts!$G:$G,"New in 2026")</f>
        <v/>
      </c>
      <c r="D19" s="6">
        <f>COUNTIFS(Concepts!$D:$D,$A19,Concepts!$G:$G,"&lt;&gt;Established")</f>
        <v/>
      </c>
      <c r="E19" s="6">
        <f>COUNTIFS(Resources!$F:$F,$A19)</f>
        <v/>
      </c>
      <c r="F19" s="6" t="n"/>
    </row>
    <row r="20">
      <c r="A20" s="6" t="inlineStr">
        <is>
          <t>17. Keep Learning: Curated Resources</t>
        </is>
      </c>
      <c r="B20" s="6">
        <f>COUNTIFS(Concepts!$D:$D,$A20)</f>
        <v/>
      </c>
      <c r="C20" s="6">
        <f>COUNTIFS(Concepts!$D:$D,$A20,Concepts!$G:$G,"New in 2026")</f>
        <v/>
      </c>
      <c r="D20" s="6">
        <f>COUNTIFS(Concepts!$D:$D,$A20,Concepts!$G:$G,"&lt;&gt;Established")</f>
        <v/>
      </c>
      <c r="E20" s="6">
        <f>COUNTIFS(Resources!$F:$F,$A20)</f>
        <v/>
      </c>
      <c r="F20" s="6" t="n"/>
    </row>
    <row r="21">
      <c r="A21" s="8" t="inlineStr">
        <is>
          <t>Total</t>
        </is>
      </c>
      <c r="B21" s="8">
        <f>SUM(B4:B20)</f>
        <v/>
      </c>
      <c r="C21" s="8">
        <f>SUM(C4:C20)</f>
        <v/>
      </c>
      <c r="D21" s="8">
        <f>SUM(D4:D20)</f>
        <v/>
      </c>
      <c r="E21" s="8">
        <f>SUM(E4:E20)</f>
        <v/>
      </c>
      <c r="F21" s="6" t="n"/>
    </row>
    <row r="22">
      <c r="A22" s="6" t="n"/>
      <c r="B22" s="6" t="n"/>
      <c r="C22" s="6" t="n"/>
      <c r="D22" s="6" t="n"/>
      <c r="E22" s="6" t="n"/>
      <c r="F22" s="6" t="n"/>
    </row>
    <row r="23">
      <c r="A23" s="7" t="inlineStr">
        <is>
          <t>Year</t>
        </is>
      </c>
      <c r="B23" s="7" t="inlineStr">
        <is>
          <t>Concepts emerged</t>
        </is>
      </c>
      <c r="C23" s="7" t="inlineStr">
        <is>
          <t>Resources published</t>
        </is>
      </c>
      <c r="D23" s="6" t="n"/>
      <c r="E23" s="6" t="n"/>
      <c r="F23" s="6" t="n"/>
    </row>
    <row r="24">
      <c r="A24" s="6" t="n">
        <v>2026</v>
      </c>
      <c r="B24" s="6">
        <f>COUNTIFS(Concepts!$E:$E,$A24)</f>
        <v/>
      </c>
      <c r="C24" s="6">
        <f>COUNTIFS(Resources!$A:$A,$A24)</f>
        <v/>
      </c>
      <c r="D24" s="6" t="n"/>
      <c r="E24" s="6" t="n"/>
      <c r="F24" s="6" t="n"/>
    </row>
    <row r="25">
      <c r="A25" s="6" t="n">
        <v>2025</v>
      </c>
      <c r="B25" s="6">
        <f>COUNTIFS(Concepts!$E:$E,$A25)</f>
        <v/>
      </c>
      <c r="C25" s="6">
        <f>COUNTIFS(Resources!$A:$A,$A25)</f>
        <v/>
      </c>
      <c r="D25" s="6" t="n"/>
      <c r="E25" s="6" t="n"/>
      <c r="F25" s="6" t="n"/>
    </row>
    <row r="26">
      <c r="A26" s="6" t="n">
        <v>2024</v>
      </c>
      <c r="B26" s="6">
        <f>COUNTIFS(Concepts!$E:$E,$A26)</f>
        <v/>
      </c>
      <c r="C26" s="6">
        <f>COUNTIFS(Resources!$A:$A,$A26)</f>
        <v/>
      </c>
      <c r="D26" s="6" t="n"/>
      <c r="E26" s="6" t="n"/>
      <c r="F26" s="6" t="n"/>
    </row>
    <row r="27">
      <c r="A27" s="6" t="n">
        <v>2023</v>
      </c>
      <c r="B27" s="6">
        <f>COUNTIFS(Concepts!$E:$E,$A27)</f>
        <v/>
      </c>
      <c r="C27" s="6">
        <f>COUNTIFS(Resources!$A:$A,$A27)</f>
        <v/>
      </c>
      <c r="D27" s="6" t="n"/>
      <c r="E27" s="6" t="n"/>
      <c r="F27" s="6" t="n"/>
    </row>
    <row r="28">
      <c r="A28" s="6" t="n">
        <v>2022</v>
      </c>
      <c r="B28" s="6">
        <f>COUNTIFS(Concepts!$E:$E,$A28)</f>
        <v/>
      </c>
      <c r="C28" s="6">
        <f>COUNTIFS(Resources!$A:$A,$A28)</f>
        <v/>
      </c>
      <c r="D28" s="6" t="n"/>
      <c r="E28" s="6" t="n"/>
      <c r="F28" s="6" t="n"/>
    </row>
    <row r="29">
      <c r="A29" s="6" t="n">
        <v>2021</v>
      </c>
      <c r="B29" s="6">
        <f>COUNTIFS(Concepts!$E:$E,$A29)</f>
        <v/>
      </c>
      <c r="C29" s="6">
        <f>COUNTIFS(Resources!$A:$A,$A29)</f>
        <v/>
      </c>
      <c r="D29" s="6" t="n"/>
      <c r="E29" s="6" t="n"/>
      <c r="F29" s="6" t="n"/>
    </row>
    <row r="30">
      <c r="A30" s="6" t="n">
        <v>2020</v>
      </c>
      <c r="B30" s="6">
        <f>COUNTIFS(Concepts!$E:$E,$A30)</f>
        <v/>
      </c>
      <c r="C30" s="6">
        <f>COUNTIFS(Resources!$A:$A,$A30)</f>
        <v/>
      </c>
      <c r="D30" s="6" t="n"/>
      <c r="E30" s="6" t="n"/>
      <c r="F30" s="6" t="n"/>
    </row>
    <row r="31">
      <c r="A31" s="6" t="n">
        <v>2019</v>
      </c>
      <c r="B31" s="6">
        <f>COUNTIFS(Concepts!$E:$E,$A31)</f>
        <v/>
      </c>
      <c r="C31" s="6">
        <f>COUNTIFS(Resources!$A:$A,$A31)</f>
        <v/>
      </c>
      <c r="D31" s="6" t="n"/>
      <c r="E31" s="6" t="n"/>
      <c r="F31" s="6" t="n"/>
    </row>
    <row r="32">
      <c r="A32" s="6" t="n">
        <v>2018</v>
      </c>
      <c r="B32" s="6">
        <f>COUNTIFS(Concepts!$E:$E,$A32)</f>
        <v/>
      </c>
      <c r="C32" s="6">
        <f>COUNTIFS(Resources!$A:$A,$A32)</f>
        <v/>
      </c>
      <c r="D32" s="6" t="n"/>
      <c r="E32" s="6" t="n"/>
      <c r="F32" s="6" t="n"/>
    </row>
    <row r="33">
      <c r="A33" s="6" t="n">
        <v>2017</v>
      </c>
      <c r="B33" s="6">
        <f>COUNTIFS(Concepts!$E:$E,$A33)</f>
        <v/>
      </c>
      <c r="C33" s="6">
        <f>COUNTIFS(Resources!$A:$A,$A33)</f>
        <v/>
      </c>
      <c r="D33" s="6" t="n"/>
      <c r="E33" s="6" t="n"/>
      <c r="F33" s="6" t="n"/>
    </row>
    <row r="34">
      <c r="A34" s="6" t="inlineStr">
        <is>
          <t>Before 2017</t>
        </is>
      </c>
      <c r="B34" s="6">
        <f>COUNTIFS(Concepts!$E:$E,"&lt;2017")</f>
        <v/>
      </c>
      <c r="C34" s="6">
        <f>COUNTIFS(Resources!$A:$A,"&lt;2017")</f>
        <v/>
      </c>
      <c r="D34" s="6" t="n"/>
      <c r="E34" s="6" t="n"/>
      <c r="F34" s="6" t="n"/>
    </row>
    <row r="35">
      <c r="A35" s="6" t="n"/>
      <c r="B35" s="6" t="n"/>
      <c r="C35" s="6" t="n"/>
      <c r="D35" s="6" t="n"/>
      <c r="E35" s="6" t="n"/>
      <c r="F35" s="6" t="n"/>
    </row>
    <row r="36">
      <c r="A36" s="7" t="inlineStr">
        <is>
          <t>Resource type</t>
        </is>
      </c>
      <c r="B36" s="7" t="inlineStr">
        <is>
          <t>All years</t>
        </is>
      </c>
      <c r="C36" s="7" t="inlineStr">
        <is>
          <t>2026</t>
        </is>
      </c>
      <c r="D36" s="7" t="inlineStr">
        <is>
          <t>2025</t>
        </is>
      </c>
      <c r="E36" s="7" t="inlineStr">
        <is>
          <t>2024</t>
        </is>
      </c>
      <c r="F36" s="7" t="inlineStr">
        <is>
          <t>Before 2024</t>
        </is>
      </c>
    </row>
    <row r="37">
      <c r="A37" s="6" t="inlineStr">
        <is>
          <t>GitHub</t>
        </is>
      </c>
      <c r="B37" s="6">
        <f>COUNTIFS(Resources!$B:$B,$A37)</f>
        <v/>
      </c>
      <c r="C37" s="6">
        <f>COUNTIFS(Resources!$B:$B,$A37,Resources!$A:$A,2026)</f>
        <v/>
      </c>
      <c r="D37" s="6">
        <f>COUNTIFS(Resources!$B:$B,$A37,Resources!$A:$A,2025)</f>
        <v/>
      </c>
      <c r="E37" s="6">
        <f>COUNTIFS(Resources!$B:$B,$A37,Resources!$A:$A,2024)</f>
        <v/>
      </c>
      <c r="F37" s="6">
        <f>COUNTIFS(Resources!$B:$B,$A37,Resources!$A:$A,"&lt;2024")</f>
        <v/>
      </c>
    </row>
    <row r="38">
      <c r="A38" s="6" t="inlineStr">
        <is>
          <t>Blog</t>
        </is>
      </c>
      <c r="B38" s="6">
        <f>COUNTIFS(Resources!$B:$B,$A38)</f>
        <v/>
      </c>
      <c r="C38" s="6">
        <f>COUNTIFS(Resources!$B:$B,$A38,Resources!$A:$A,2026)</f>
        <v/>
      </c>
      <c r="D38" s="6">
        <f>COUNTIFS(Resources!$B:$B,$A38,Resources!$A:$A,2025)</f>
        <v/>
      </c>
      <c r="E38" s="6">
        <f>COUNTIFS(Resources!$B:$B,$A38,Resources!$A:$A,2024)</f>
        <v/>
      </c>
      <c r="F38" s="6">
        <f>COUNTIFS(Resources!$B:$B,$A38,Resources!$A:$A,"&lt;2024")</f>
        <v/>
      </c>
    </row>
    <row r="39">
      <c r="A39" s="6" t="inlineStr">
        <is>
          <t>Paper</t>
        </is>
      </c>
      <c r="B39" s="6">
        <f>COUNTIFS(Resources!$B:$B,$A39)</f>
        <v/>
      </c>
      <c r="C39" s="6">
        <f>COUNTIFS(Resources!$B:$B,$A39,Resources!$A:$A,2026)</f>
        <v/>
      </c>
      <c r="D39" s="6">
        <f>COUNTIFS(Resources!$B:$B,$A39,Resources!$A:$A,2025)</f>
        <v/>
      </c>
      <c r="E39" s="6">
        <f>COUNTIFS(Resources!$B:$B,$A39,Resources!$A:$A,2024)</f>
        <v/>
      </c>
      <c r="F39" s="6">
        <f>COUNTIFS(Resources!$B:$B,$A39,Resources!$A:$A,"&lt;2024")</f>
        <v/>
      </c>
    </row>
    <row r="40">
      <c r="A40" s="6" t="inlineStr">
        <is>
          <t>Docs</t>
        </is>
      </c>
      <c r="B40" s="6">
        <f>COUNTIFS(Resources!$B:$B,$A40)</f>
        <v/>
      </c>
      <c r="C40" s="6">
        <f>COUNTIFS(Resources!$B:$B,$A40,Resources!$A:$A,2026)</f>
        <v/>
      </c>
      <c r="D40" s="6">
        <f>COUNTIFS(Resources!$B:$B,$A40,Resources!$A:$A,2025)</f>
        <v/>
      </c>
      <c r="E40" s="6">
        <f>COUNTIFS(Resources!$B:$B,$A40,Resources!$A:$A,2024)</f>
        <v/>
      </c>
      <c r="F40" s="6">
        <f>COUNTIFS(Resources!$B:$B,$A40,Resources!$A:$A,"&lt;2024")</f>
        <v/>
      </c>
    </row>
    <row r="41">
      <c r="A41" s="6" t="inlineStr">
        <is>
          <t>Spec</t>
        </is>
      </c>
      <c r="B41" s="6">
        <f>COUNTIFS(Resources!$B:$B,$A41)</f>
        <v/>
      </c>
      <c r="C41" s="6">
        <f>COUNTIFS(Resources!$B:$B,$A41,Resources!$A:$A,2026)</f>
        <v/>
      </c>
      <c r="D41" s="6">
        <f>COUNTIFS(Resources!$B:$B,$A41,Resources!$A:$A,2025)</f>
        <v/>
      </c>
      <c r="E41" s="6">
        <f>COUNTIFS(Resources!$B:$B,$A41,Resources!$A:$A,2024)</f>
        <v/>
      </c>
      <c r="F41" s="6">
        <f>COUNTIFS(Resources!$B:$B,$A41,Resources!$A:$A,"&lt;2024")</f>
        <v/>
      </c>
    </row>
    <row r="42">
      <c r="A42" s="6" t="inlineStr">
        <is>
          <t>Video</t>
        </is>
      </c>
      <c r="B42" s="6">
        <f>COUNTIFS(Resources!$B:$B,$A42)</f>
        <v/>
      </c>
      <c r="C42" s="6">
        <f>COUNTIFS(Resources!$B:$B,$A42,Resources!$A:$A,2026)</f>
        <v/>
      </c>
      <c r="D42" s="6">
        <f>COUNTIFS(Resources!$B:$B,$A42,Resources!$A:$A,2025)</f>
        <v/>
      </c>
      <c r="E42" s="6">
        <f>COUNTIFS(Resources!$B:$B,$A42,Resources!$A:$A,2024)</f>
        <v/>
      </c>
      <c r="F42" s="6">
        <f>COUNTIFS(Resources!$B:$B,$A42,Resources!$A:$A,"&lt;2024")</f>
        <v/>
      </c>
    </row>
    <row r="43">
      <c r="A43" s="6" t="n"/>
      <c r="B43" s="6" t="n"/>
      <c r="C43" s="6" t="n"/>
      <c r="D43" s="6" t="n"/>
      <c r="E43" s="6" t="n"/>
      <c r="F43" s="6" t="n"/>
    </row>
    <row r="44">
      <c r="A44" s="7" t="inlineStr">
        <is>
          <t>Level</t>
        </is>
      </c>
      <c r="B44" s="7" t="inlineStr">
        <is>
          <t>Concepts</t>
        </is>
      </c>
      <c r="C44" s="6" t="n"/>
      <c r="D44" s="6" t="n"/>
      <c r="E44" s="6" t="n"/>
      <c r="F44" s="6" t="n"/>
    </row>
    <row r="45">
      <c r="A45" s="6" t="inlineStr">
        <is>
          <t>Beginner</t>
        </is>
      </c>
      <c r="B45" s="6">
        <f>COUNTIFS(Concepts!$H:$H,$A45)</f>
        <v/>
      </c>
      <c r="C45" s="6" t="n"/>
      <c r="D45" s="6" t="n"/>
      <c r="E45" s="6" t="n"/>
      <c r="F45" s="6" t="n"/>
    </row>
    <row r="46">
      <c r="A46" s="6" t="inlineStr">
        <is>
          <t>Intermediate</t>
        </is>
      </c>
      <c r="B46" s="6">
        <f>COUNTIFS(Concepts!$H:$H,$A46)</f>
        <v/>
      </c>
      <c r="C46" s="6" t="n"/>
      <c r="D46" s="6" t="n"/>
      <c r="E46" s="6" t="n"/>
      <c r="F46" s="6" t="n"/>
    </row>
    <row r="47">
      <c r="A47" s="6" t="inlineStr">
        <is>
          <t>Advanced</t>
        </is>
      </c>
      <c r="B47" s="6">
        <f>COUNTIFS(Concepts!$H:$H,$A47)</f>
        <v/>
      </c>
      <c r="C47" s="6" t="n"/>
      <c r="D47" s="6" t="n"/>
      <c r="E47" s="6" t="n"/>
      <c r="F47"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8" customWidth="1" min="3" max="3"/>
    <col width="34" customWidth="1" min="4" max="4"/>
    <col width="8" customWidth="1" min="5" max="5"/>
    <col width="11" customWidth="1" min="6" max="6"/>
    <col width="14" customWidth="1" min="7" max="7"/>
    <col width="13"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70" customWidth="1" min="17" max="17"/>
    <col width="70" customWidth="1" min="18" max="18"/>
    <col width="50" customWidth="1" min="19" max="19"/>
    <col width="10" customWidth="1" min="20" max="20"/>
  </cols>
  <sheetData>
    <row r="1">
      <c r="A1" s="9" t="inlineStr">
        <is>
          <t>No.</t>
        </is>
      </c>
      <c r="B1" s="9" t="inlineStr">
        <is>
          <t>Concept</t>
        </is>
      </c>
      <c r="C1" s="9" t="inlineStr">
        <is>
          <t>Alias</t>
        </is>
      </c>
      <c r="D1" s="9" t="inlineStr">
        <is>
          <t>Category</t>
        </is>
      </c>
      <c r="E1" s="9" t="inlineStr">
        <is>
          <t>Since</t>
        </is>
      </c>
      <c r="F1" s="9" t="inlineStr">
        <is>
          <t>Active until</t>
        </is>
      </c>
      <c r="G1" s="9" t="inlineStr">
        <is>
          <t>Status</t>
        </is>
      </c>
      <c r="H1" s="9" t="inlineStr">
        <is>
          <t>Level</t>
        </is>
      </c>
      <c r="I1" s="9" t="inlineStr">
        <is>
          <t>Foundational</t>
        </is>
      </c>
      <c r="J1" s="9" t="inlineStr">
        <is>
          <t>Production practice</t>
        </is>
      </c>
      <c r="K1" s="9" t="inlineStr">
        <is>
          <t>Research frontier</t>
        </is>
      </c>
      <c r="L1" s="9" t="inlineStr">
        <is>
          <t>Open source / open weights</t>
        </is>
      </c>
      <c r="M1" s="9" t="inlineStr">
        <is>
          <t>Open standard</t>
        </is>
      </c>
      <c r="N1" s="9" t="inlineStr">
        <is>
          <t>Enterprise</t>
        </is>
      </c>
      <c r="O1" s="9" t="inlineStr">
        <is>
          <t>Security</t>
        </is>
      </c>
      <c r="P1" s="9" t="inlineStr">
        <is>
          <t>Cost &amp; efficiency</t>
        </is>
      </c>
      <c r="Q1" s="9" t="inlineStr">
        <is>
          <t>Definition</t>
        </is>
      </c>
      <c r="R1" s="9" t="inlineStr">
        <is>
          <t>Key points</t>
        </is>
      </c>
      <c r="S1" s="9" t="inlineStr">
        <is>
          <t>State of the art (Sept 2026)</t>
        </is>
      </c>
      <c r="T1" s="9" t="inlineStr">
        <is>
          <t>Resources</t>
        </is>
      </c>
    </row>
    <row r="2">
      <c r="A2" s="3" t="n">
        <v>1</v>
      </c>
      <c r="B2" s="3" t="inlineStr">
        <is>
          <t>Mythos-class tier and trusted access</t>
        </is>
      </c>
      <c r="C2" s="3" t="inlineStr">
        <is>
          <t>Fable / Mythos</t>
        </is>
      </c>
      <c r="D2" s="3" t="inlineStr">
        <is>
          <t>01. The Frontier Landscape (September 2026)</t>
        </is>
      </c>
      <c r="E2" s="3" t="n">
        <v>2026</v>
      </c>
      <c r="F2" s="3" t="n">
        <v>2026</v>
      </c>
      <c r="G2" s="3" t="inlineStr">
        <is>
          <t>New in 2026</t>
        </is>
      </c>
      <c r="H2" s="3" t="inlineStr">
        <is>
          <t>Beginner</t>
        </is>
      </c>
      <c r="I2" s="3" t="inlineStr"/>
      <c r="J2" s="3" t="inlineStr"/>
      <c r="K2" s="3" t="inlineStr"/>
      <c r="L2" s="3" t="inlineStr"/>
      <c r="M2" s="3" t="inlineStr"/>
      <c r="N2" s="3" t="inlineStr">
        <is>
          <t>Yes</t>
        </is>
      </c>
      <c r="O2" s="3" t="inlineStr">
        <is>
          <t>Yes</t>
        </is>
      </c>
      <c r="P2" s="3" t="inlineStr"/>
      <c r="Q2" s="3" t="inlineStr">
        <is>
          <t>Anthropic introduced a capability tier above Opus. The same underlying model ships in two forms: Claude Fable for general use with extra safeguards in biology, cybersecurity and LLM R&amp;D, and Claude Mythos for vetted defenders and partners through Project Glasswing.</t>
        </is>
      </c>
      <c r="R2" s="3" t="inlineStr">
        <is>
          <t>• Mythos Preview (April 2026) was first restricted to trusted organisations for cyber defense.
• Fable 5 / Mythos 5 launched June 9, 2026; access was suspended June 12 to comply with US export controls and restored July 1 after the controls were lifted.
• Fable 5.1 and Mythos 5.1 followed on September 1, 2026, with 1M-token context.</t>
        </is>
      </c>
      <c r="S2" s="3" t="inlineStr">
        <is>
          <t>Fable 5.1 is Anthropic's generally available flagship; Opus 5 (July 2026) and Sonnet 5 sit below it.</t>
        </is>
      </c>
      <c r="T2" s="3" t="n">
        <v>3</v>
      </c>
    </row>
    <row r="3">
      <c r="A3" s="3" t="n">
        <v>2</v>
      </c>
      <c r="B3" s="3" t="inlineStr">
        <is>
          <t>GPT-6 Astra and the Critical cyber threshold</t>
        </is>
      </c>
      <c r="C3" s="3" t="inlineStr">
        <is>
          <t>GPT-6</t>
        </is>
      </c>
      <c r="D3" s="3" t="inlineStr">
        <is>
          <t>01. The Frontier Landscape (September 2026)</t>
        </is>
      </c>
      <c r="E3" s="3" t="n">
        <v>2026</v>
      </c>
      <c r="F3" s="3" t="n">
        <v>2026</v>
      </c>
      <c r="G3" s="3" t="inlineStr">
        <is>
          <t>New in 2026</t>
        </is>
      </c>
      <c r="H3" s="3" t="inlineStr">
        <is>
          <t>Beginner</t>
        </is>
      </c>
      <c r="I3" s="3" t="inlineStr"/>
      <c r="J3" s="3" t="inlineStr"/>
      <c r="K3" s="3" t="inlineStr"/>
      <c r="L3" s="3" t="inlineStr"/>
      <c r="M3" s="3" t="inlineStr"/>
      <c r="N3" s="3" t="inlineStr">
        <is>
          <t>Yes</t>
        </is>
      </c>
      <c r="O3" s="3" t="inlineStr">
        <is>
          <t>Yes</t>
        </is>
      </c>
      <c r="P3" s="3" t="inlineStr"/>
      <c r="Q3" s="3" t="inlineStr">
        <is>
          <t>OpenAI's first GPT-6 generation model, released September 3, 2026. It is the first model OpenAI classified at the Critical cybersecurity level of its Preparedness Framework, so it launched in phases with stronger safeguards and a trusted-access program for defenders.</t>
        </is>
      </c>
      <c r="R3" s="3" t="inlineStr">
        <is>
          <t>• Critical means the model can find and exploit unknown vulnerabilities in hardened systems without step-by-step human guidance.
• Public versions refuse advanced offensive tasks; vetted defenders get more through OpenAI's trusted-access programs.
• Its system card also reported reduced chain-of-thought monitorability, a notable safety signal.</t>
        </is>
      </c>
      <c r="S3" s="3" t="inlineStr">
        <is>
          <t>GPT-6 Astra sits above the GPT-5.6 Sol / Terra / Luna tiers.</t>
        </is>
      </c>
      <c r="T3" s="3" t="n">
        <v>4</v>
      </c>
    </row>
    <row r="4">
      <c r="A4" s="3" t="n">
        <v>3</v>
      </c>
      <c r="B4" s="3" t="inlineStr">
        <is>
          <t>Tiered access for dual-use models</t>
        </is>
      </c>
      <c r="C4" s="3" t="inlineStr">
        <is>
          <t>trusted access</t>
        </is>
      </c>
      <c r="D4" s="3" t="inlineStr">
        <is>
          <t>01. The Frontier Landscape (September 2026)</t>
        </is>
      </c>
      <c r="E4" s="3" t="n">
        <v>2025</v>
      </c>
      <c r="F4" s="3" t="n">
        <v>2026</v>
      </c>
      <c r="G4" s="3" t="inlineStr">
        <is>
          <t>Active in 2026</t>
        </is>
      </c>
      <c r="H4" s="3" t="inlineStr">
        <is>
          <t>Intermediate</t>
        </is>
      </c>
      <c r="I4" s="3" t="inlineStr"/>
      <c r="J4" s="3" t="inlineStr"/>
      <c r="K4" s="3" t="inlineStr"/>
      <c r="L4" s="3" t="inlineStr"/>
      <c r="M4" s="3" t="inlineStr"/>
      <c r="N4" s="3" t="inlineStr">
        <is>
          <t>Yes</t>
        </is>
      </c>
      <c r="O4" s="3" t="inlineStr">
        <is>
          <t>Yes</t>
        </is>
      </c>
      <c r="P4" s="3" t="inlineStr"/>
      <c r="Q4" s="3" t="inlineStr">
        <is>
          <t>A 2026 industry pattern: the most cyber-capable models are released in a public version with guardrails and a restricted version for vetted security teams and critical-infrastructure operators.</t>
        </is>
      </c>
      <c r="R4" s="3" t="inlineStr">
        <is>
          <t>• Anthropic (Glasswing), OpenAI (trusted access for cyber) and Google (defender-only cyber variants) all adopted versions of it.
• It lets defenders patch vulnerabilities before equivalent capabilities spread.
• Enterprises now need to track which model variant, safeguards and data-retention terms they are using.</t>
        </is>
      </c>
      <c r="S4" s="3" t="inlineStr"/>
      <c r="T4" s="3" t="n">
        <v>2</v>
      </c>
    </row>
    <row r="5">
      <c r="A5" s="3" t="n">
        <v>4</v>
      </c>
      <c r="B5" s="3" t="inlineStr">
        <is>
          <t>Open-weight frontier models</t>
        </is>
      </c>
      <c r="C5" s="3" t="inlineStr"/>
      <c r="D5" s="3" t="inlineStr">
        <is>
          <t>01. The Frontier Landscape (September 2026)</t>
        </is>
      </c>
      <c r="E5" s="3" t="n">
        <v>2023</v>
      </c>
      <c r="F5" s="3" t="n">
        <v>2026</v>
      </c>
      <c r="G5" s="3" t="inlineStr">
        <is>
          <t>Active in 2026</t>
        </is>
      </c>
      <c r="H5" s="3" t="inlineStr">
        <is>
          <t>Beginner</t>
        </is>
      </c>
      <c r="I5" s="3" t="inlineStr"/>
      <c r="J5" s="3" t="inlineStr"/>
      <c r="K5" s="3" t="inlineStr"/>
      <c r="L5" s="3" t="inlineStr">
        <is>
          <t>Yes</t>
        </is>
      </c>
      <c r="M5" s="3" t="inlineStr"/>
      <c r="N5" s="3" t="inlineStr"/>
      <c r="O5" s="3" t="inlineStr"/>
      <c r="P5" s="3" t="inlineStr">
        <is>
          <t>Yes</t>
        </is>
      </c>
      <c r="Q5" s="3" t="inlineStr">
        <is>
          <t>Open-weight models trail the closed frontier by months, not years. 2026's leading families are mostly large sparse MoEs with 1M-token context and permissive licences.</t>
        </is>
      </c>
      <c r="R5" s="3" t="inlineStr">
        <is>
          <t>• DeepSeek V4 (April 2026): Pro has 1.6T total / 49B active parameters, Flash has 284B / 13B, both with 1M context, MIT licence.
• Other active families: Qwen 3.x, Kimi, GLM-5.x, MiniMax, Mistral Large 3, NVIDIA Nemotron 3, Google Gemma 4.
• Open weight does not always mean open source: check licence terms and whether data and code are released.</t>
        </is>
      </c>
      <c r="S5" s="3" t="inlineStr">
        <is>
          <t>DeepSeek V4 is the reference open model for long-context efficiency; small open models now run strong coding workloads on a single GPU.</t>
        </is>
      </c>
      <c r="T5" s="3" t="n">
        <v>3</v>
      </c>
    </row>
    <row r="6">
      <c r="A6" s="3" t="n">
        <v>5</v>
      </c>
      <c r="B6" s="3" t="inlineStr">
        <is>
          <t>Model release trackers</t>
        </is>
      </c>
      <c r="C6" s="3" t="inlineStr"/>
      <c r="D6" s="3" t="inlineStr">
        <is>
          <t>01. The Frontier Landscape (September 2026)</t>
        </is>
      </c>
      <c r="E6" s="3" t="n">
        <v>2023</v>
      </c>
      <c r="F6" s="3" t="n">
        <v>2026</v>
      </c>
      <c r="G6" s="3" t="inlineStr">
        <is>
          <t>Active in 2026</t>
        </is>
      </c>
      <c r="H6" s="3" t="inlineStr">
        <is>
          <t>Beginner</t>
        </is>
      </c>
      <c r="I6" s="3" t="inlineStr"/>
      <c r="J6" s="3" t="inlineStr">
        <is>
          <t>Yes</t>
        </is>
      </c>
      <c r="K6" s="3" t="inlineStr"/>
      <c r="L6" s="3" t="inlineStr"/>
      <c r="M6" s="3" t="inlineStr"/>
      <c r="N6" s="3" t="inlineStr"/>
      <c r="O6" s="3" t="inlineStr"/>
      <c r="P6" s="3" t="inlineStr"/>
      <c r="Q6" s="3" t="inlineStr">
        <is>
          <t>In 2026 frontier labs shipped new models every few weeks. Trackers and independent benchmark aggregators are the practical way to keep up.</t>
        </is>
      </c>
      <c r="R6" s="3" t="inlineStr">
        <is>
          <t>• Compare on your own evals, not headline benchmarks.
• Watch pricing changes as closely as capability changes: cache-read and small-tier prices fell sharply in 2026.</t>
        </is>
      </c>
      <c r="S6" s="3" t="inlineStr"/>
      <c r="T6" s="3" t="n">
        <v>4</v>
      </c>
    </row>
    <row r="7">
      <c r="A7" s="3" t="n">
        <v>6</v>
      </c>
      <c r="B7" s="3" t="inlineStr">
        <is>
          <t>Agent harness</t>
        </is>
      </c>
      <c r="C7" s="3" t="inlineStr"/>
      <c r="D7" s="3" t="inlineStr">
        <is>
          <t>02. Agents and Harnesses</t>
        </is>
      </c>
      <c r="E7" s="3" t="n">
        <v>2024</v>
      </c>
      <c r="F7" s="3" t="n">
        <v>2026</v>
      </c>
      <c r="G7" s="3" t="inlineStr">
        <is>
          <t>Active in 2026</t>
        </is>
      </c>
      <c r="H7" s="3" t="inlineStr">
        <is>
          <t>Beginner</t>
        </is>
      </c>
      <c r="I7" s="3" t="inlineStr">
        <is>
          <t>Yes</t>
        </is>
      </c>
      <c r="J7" s="3" t="inlineStr">
        <is>
          <t>Yes</t>
        </is>
      </c>
      <c r="K7" s="3" t="inlineStr"/>
      <c r="L7" s="3" t="inlineStr"/>
      <c r="M7" s="3" t="inlineStr"/>
      <c r="N7" s="3" t="inlineStr"/>
      <c r="O7" s="3" t="inlineStr"/>
      <c r="P7" s="3" t="inlineStr"/>
      <c r="Q7" s="3" t="inlineStr">
        <is>
          <t>Everything around the model that turns it into a working agent: the loop, tool definitions, permissions, sandbox, context management, memory, retries, logging and human approval gates.</t>
        </is>
      </c>
      <c r="R7" s="3" t="inlineStr">
        <is>
          <t>• Two teams using the same model can get very different results purely from harness design.
• Harness setup alone can move benchmark scores by several points.
• Harnesses encode assumptions about model weaknesses, so they must be revisited when models improve.</t>
        </is>
      </c>
      <c r="S7" s="3" t="inlineStr">
        <is>
          <t>Vendor harnesses (Claude Code, Codex, Gemini CLI) are now exposed as SDKs and managed runtimes so teams can build on them directly.</t>
        </is>
      </c>
      <c r="T7" s="3" t="n">
        <v>3</v>
      </c>
    </row>
    <row r="8">
      <c r="A8" s="3" t="n">
        <v>7</v>
      </c>
      <c r="B8" s="3" t="inlineStr">
        <is>
          <t>Harness engineering</t>
        </is>
      </c>
      <c r="C8" s="3" t="inlineStr"/>
      <c r="D8" s="3" t="inlineStr">
        <is>
          <t>02. Agents and Harnesses</t>
        </is>
      </c>
      <c r="E8" s="3" t="n">
        <v>2026</v>
      </c>
      <c r="F8" s="3" t="n">
        <v>2026</v>
      </c>
      <c r="G8" s="3" t="inlineStr">
        <is>
          <t>New in 2026</t>
        </is>
      </c>
      <c r="H8" s="3" t="inlineStr">
        <is>
          <t>Intermediate</t>
        </is>
      </c>
      <c r="I8" s="3" t="inlineStr"/>
      <c r="J8" s="3" t="inlineStr">
        <is>
          <t>Yes</t>
        </is>
      </c>
      <c r="K8" s="3" t="inlineStr"/>
      <c r="L8" s="3" t="inlineStr"/>
      <c r="M8" s="3" t="inlineStr"/>
      <c r="N8" s="3" t="inlineStr"/>
      <c r="O8" s="3" t="inlineStr"/>
      <c r="P8" s="3" t="inlineStr"/>
      <c r="Q8" s="3" t="inlineStr">
        <is>
          <t>The discipline that followed prompt engineering and context engineering: designing environments, constraints, documentation-as-system-of-record, structural tests and feedback loops so agents do reliable work while humans steer.</t>
        </is>
      </c>
      <c r="R8" s="3" t="inlineStr">
        <is>
          <t>• OpenAI described a team shipping a roughly million-line product with no hand-written code using this approach.
• Core moves: constrain what agents can do, inform them what to do, verify their work, correct mistakes, keep humans at high-stakes gates.
• Architecture rules become linters and tests the agent must pass, not wiki pages.</t>
        </is>
      </c>
      <c r="S8" s="3" t="inlineStr">
        <is>
          <t>The term entered mainstream use in early 2026 and is now the main focus of agent engineering investment.</t>
        </is>
      </c>
      <c r="T8" s="3" t="n">
        <v>3</v>
      </c>
    </row>
    <row r="9">
      <c r="A9" s="3" t="n">
        <v>8</v>
      </c>
      <c r="B9" s="3" t="inlineStr">
        <is>
          <t>Managed agents: decoupling brain, hands and session</t>
        </is>
      </c>
      <c r="C9" s="3" t="inlineStr"/>
      <c r="D9" s="3" t="inlineStr">
        <is>
          <t>02. Agents and Harnesses</t>
        </is>
      </c>
      <c r="E9" s="3" t="n">
        <v>2026</v>
      </c>
      <c r="F9" s="3" t="n">
        <v>2026</v>
      </c>
      <c r="G9" s="3" t="inlineStr">
        <is>
          <t>New in 2026</t>
        </is>
      </c>
      <c r="H9" s="3" t="inlineStr">
        <is>
          <t>Advanced</t>
        </is>
      </c>
      <c r="I9" s="3" t="inlineStr"/>
      <c r="J9" s="3" t="inlineStr">
        <is>
          <t>Yes</t>
        </is>
      </c>
      <c r="K9" s="3" t="inlineStr"/>
      <c r="L9" s="3" t="inlineStr"/>
      <c r="M9" s="3" t="inlineStr"/>
      <c r="N9" s="3" t="inlineStr">
        <is>
          <t>Yes</t>
        </is>
      </c>
      <c r="O9" s="3" t="inlineStr"/>
      <c r="P9" s="3" t="inlineStr"/>
      <c r="Q9" s="3" t="inlineStr">
        <is>
          <t>An architecture where the reasoning loop (brain), the sandboxes and tools that act (hands), and the append-only event log (session) are separate, replaceable services.</t>
        </is>
      </c>
      <c r="R9" s="3" t="inlineStr">
        <is>
          <t>• The harness becomes stateless; containers are provisioned only when a tool needs them.
• A crash in one sandbox does not lose the session, because state lives in the log.
• Enterprises can run the hands inside their own network while the brain runs at the provider.</t>
        </is>
      </c>
      <c r="S9" s="3" t="inlineStr">
        <is>
          <t>Anthropic launched Claude Managed Agents on this design in April 2026; Cursor's cloud agents converged on a similar three-layer split.</t>
        </is>
      </c>
      <c r="T9" s="3" t="n">
        <v>1</v>
      </c>
    </row>
    <row r="10">
      <c r="A10" s="3" t="n">
        <v>9</v>
      </c>
      <c r="B10" s="3" t="inlineStr">
        <is>
          <t>Agentic loop / ReAct</t>
        </is>
      </c>
      <c r="C10" s="3" t="inlineStr">
        <is>
          <t>ReAct</t>
        </is>
      </c>
      <c r="D10" s="3" t="inlineStr">
        <is>
          <t>02. Agents and Harnesses</t>
        </is>
      </c>
      <c r="E10" s="3" t="n">
        <v>2022</v>
      </c>
      <c r="F10" s="3" t="n">
        <v>2025</v>
      </c>
      <c r="G10" s="3" t="inlineStr">
        <is>
          <t>Established</t>
        </is>
      </c>
      <c r="H10" s="3" t="inlineStr">
        <is>
          <t>Beginner</t>
        </is>
      </c>
      <c r="I10" s="3" t="inlineStr">
        <is>
          <t>Yes</t>
        </is>
      </c>
      <c r="J10" s="3" t="inlineStr"/>
      <c r="K10" s="3" t="inlineStr"/>
      <c r="L10" s="3" t="inlineStr"/>
      <c r="M10" s="3" t="inlineStr"/>
      <c r="N10" s="3" t="inlineStr"/>
      <c r="O10" s="3" t="inlineStr"/>
      <c r="P10" s="3" t="inlineStr"/>
      <c r="Q10" s="3" t="inlineStr">
        <is>
          <t>The basic control pattern: reason about the next step, act by calling a tool, observe the result, and loop until done.</t>
        </is>
      </c>
      <c r="R10" s="3" t="inlineStr">
        <is>
          <t>• Modern models interleave thinking between tool calls natively.
• A usable coding agent loop fits in about 100 lines of code.</t>
        </is>
      </c>
      <c r="S10" s="3" t="inlineStr"/>
      <c r="T10" s="3" t="n">
        <v>3</v>
      </c>
    </row>
    <row r="11">
      <c r="A11" s="3" t="n">
        <v>10</v>
      </c>
      <c r="B11" s="3" t="inlineStr">
        <is>
          <t>Workflows vs. agents</t>
        </is>
      </c>
      <c r="C11" s="3" t="inlineStr"/>
      <c r="D11" s="3" t="inlineStr">
        <is>
          <t>02. Agents and Harnesses</t>
        </is>
      </c>
      <c r="E11" s="3" t="n">
        <v>2024</v>
      </c>
      <c r="F11" s="3" t="n">
        <v>2025</v>
      </c>
      <c r="G11" s="3" t="inlineStr">
        <is>
          <t>Established</t>
        </is>
      </c>
      <c r="H11" s="3" t="inlineStr">
        <is>
          <t>Beginner</t>
        </is>
      </c>
      <c r="I11" s="3" t="inlineStr">
        <is>
          <t>Yes</t>
        </is>
      </c>
      <c r="J11" s="3" t="inlineStr">
        <is>
          <t>Yes</t>
        </is>
      </c>
      <c r="K11" s="3" t="inlineStr"/>
      <c r="L11" s="3" t="inlineStr"/>
      <c r="M11" s="3" t="inlineStr"/>
      <c r="N11" s="3" t="inlineStr"/>
      <c r="O11" s="3" t="inlineStr"/>
      <c r="P11" s="3" t="inlineStr"/>
      <c r="Q11" s="3" t="inlineStr">
        <is>
          <t>Workflows run LLM calls through predefined code paths; agents let the model direct its own process. Use the simplest pattern that works.</t>
        </is>
      </c>
      <c r="R11" s="3" t="inlineStr">
        <is>
          <t>• Common workflow patterns: prompt chaining, routing, parallelisation, orchestrator-workers, evaluator-optimiser.
• Add autonomy only when the path cannot be predicted in advance.</t>
        </is>
      </c>
      <c r="S11" s="3" t="inlineStr"/>
      <c r="T11" s="3" t="n">
        <v>2</v>
      </c>
    </row>
    <row r="12">
      <c r="A12" s="3" t="n">
        <v>11</v>
      </c>
      <c r="B12" s="3" t="inlineStr">
        <is>
          <t>Tool use / function calling</t>
        </is>
      </c>
      <c r="C12" s="3" t="inlineStr"/>
      <c r="D12" s="3" t="inlineStr">
        <is>
          <t>02. Agents and Harnesses</t>
        </is>
      </c>
      <c r="E12" s="3" t="n">
        <v>2023</v>
      </c>
      <c r="F12" s="3" t="n">
        <v>2025</v>
      </c>
      <c r="G12" s="3" t="inlineStr">
        <is>
          <t>Established</t>
        </is>
      </c>
      <c r="H12" s="3" t="inlineStr">
        <is>
          <t>Beginner</t>
        </is>
      </c>
      <c r="I12" s="3" t="inlineStr">
        <is>
          <t>Yes</t>
        </is>
      </c>
      <c r="J12" s="3" t="inlineStr"/>
      <c r="K12" s="3" t="inlineStr"/>
      <c r="L12" s="3" t="inlineStr"/>
      <c r="M12" s="3" t="inlineStr"/>
      <c r="N12" s="3" t="inlineStr"/>
      <c r="O12" s="3" t="inlineStr"/>
      <c r="P12" s="3" t="inlineStr"/>
      <c r="Q12" s="3" t="inlineStr">
        <is>
          <t>Models emit structured calls (a tool name plus JSON arguments) that the harness executes and returns. Tool design is API design for a non-human user.</t>
        </is>
      </c>
      <c r="R12" s="3" t="inlineStr">
        <is>
          <t>• Prefer few, expressive tools over many narrow ones.
• Return compact, high-signal output and actionable error messages.
• Namespacing and clear descriptions reduce wrong-tool calls.</t>
        </is>
      </c>
      <c r="S12" s="3" t="inlineStr"/>
      <c r="T12" s="3" t="n">
        <v>2</v>
      </c>
    </row>
    <row r="13">
      <c r="A13" s="3" t="n">
        <v>12</v>
      </c>
      <c r="B13" s="3" t="inlineStr">
        <is>
          <t>Tool search and programmatic tool calling</t>
        </is>
      </c>
      <c r="C13" s="3" t="inlineStr">
        <is>
          <t>code mode</t>
        </is>
      </c>
      <c r="D13" s="3" t="inlineStr">
        <is>
          <t>02. Agents and Harnesses</t>
        </is>
      </c>
      <c r="E13" s="3" t="n">
        <v>2025</v>
      </c>
      <c r="F13" s="3" t="n">
        <v>2026</v>
      </c>
      <c r="G13" s="3" t="inlineStr">
        <is>
          <t>Active in 2026</t>
        </is>
      </c>
      <c r="H13" s="3" t="inlineStr">
        <is>
          <t>Intermediate</t>
        </is>
      </c>
      <c r="I13" s="3" t="inlineStr"/>
      <c r="J13" s="3" t="inlineStr">
        <is>
          <t>Yes</t>
        </is>
      </c>
      <c r="K13" s="3" t="inlineStr"/>
      <c r="L13" s="3" t="inlineStr"/>
      <c r="M13" s="3" t="inlineStr"/>
      <c r="N13" s="3" t="inlineStr"/>
      <c r="O13" s="3" t="inlineStr"/>
      <c r="P13" s="3" t="inlineStr">
        <is>
          <t>Yes</t>
        </is>
      </c>
      <c r="Q13" s="3" t="inlineStr">
        <is>
          <t>Two fixes for tool overload. Tool search loads tool definitions on demand; programmatic tool calling lets the model write a script that calls many tools and returns only the final result.</t>
        </is>
      </c>
      <c r="R13" s="3" t="inlineStr">
        <is>
          <t>• Cuts context use and round-trips dramatically for large tool sets.
• Deferred tool discovery and stable tool ordering also protect prompt-cache hits.</t>
        </is>
      </c>
      <c r="S13" s="3" t="inlineStr">
        <is>
          <t>Now a standard feature in frontier harnesses; MCP servers are increasingly consumed through code rather than direct calls.</t>
        </is>
      </c>
      <c r="T13" s="3" t="n">
        <v>3</v>
      </c>
    </row>
    <row r="14">
      <c r="A14" s="3" t="n">
        <v>13</v>
      </c>
      <c r="B14" s="3" t="inlineStr">
        <is>
          <t>Multi-agent systems and subagents</t>
        </is>
      </c>
      <c r="C14" s="3" t="inlineStr">
        <is>
          <t>orchestrator-worker</t>
        </is>
      </c>
      <c r="D14" s="3" t="inlineStr">
        <is>
          <t>02. Agents and Harnesses</t>
        </is>
      </c>
      <c r="E14" s="3" t="n">
        <v>2023</v>
      </c>
      <c r="F14" s="3" t="n">
        <v>2026</v>
      </c>
      <c r="G14" s="3" t="inlineStr">
        <is>
          <t>Active in 2026</t>
        </is>
      </c>
      <c r="H14" s="3" t="inlineStr">
        <is>
          <t>Intermediate</t>
        </is>
      </c>
      <c r="I14" s="3" t="inlineStr"/>
      <c r="J14" s="3" t="inlineStr">
        <is>
          <t>Yes</t>
        </is>
      </c>
      <c r="K14" s="3" t="inlineStr"/>
      <c r="L14" s="3" t="inlineStr"/>
      <c r="M14" s="3" t="inlineStr"/>
      <c r="N14" s="3" t="inlineStr"/>
      <c r="O14" s="3" t="inlineStr"/>
      <c r="P14" s="3" t="inlineStr"/>
      <c r="Q14" s="3" t="inlineStr">
        <is>
          <t>A lead agent plans and delegates to subagents with their own clean context windows, then combines condensed results.</t>
        </is>
      </c>
      <c r="R14" s="3" t="inlineStr">
        <is>
          <t>• Great for broad research and big codebases; costs more tokens.
• Specialised orchestrator models can route work between tools, small models and large models.</t>
        </is>
      </c>
      <c r="S14" s="3" t="inlineStr">
        <is>
          <t>Agent teams, swarms and parallel agents in isolated worktrees are routine in 2026 coding tools.</t>
        </is>
      </c>
      <c r="T14" s="3" t="n">
        <v>3</v>
      </c>
    </row>
    <row r="15">
      <c r="A15" s="3" t="n">
        <v>14</v>
      </c>
      <c r="B15" s="3" t="inlineStr">
        <is>
          <t>Long-running and background agents</t>
        </is>
      </c>
      <c r="C15" s="3" t="inlineStr"/>
      <c r="D15" s="3" t="inlineStr">
        <is>
          <t>02. Agents and Harnesses</t>
        </is>
      </c>
      <c r="E15" s="3" t="n">
        <v>2025</v>
      </c>
      <c r="F15" s="3" t="n">
        <v>2026</v>
      </c>
      <c r="G15" s="3" t="inlineStr">
        <is>
          <t>Active in 2026</t>
        </is>
      </c>
      <c r="H15" s="3" t="inlineStr">
        <is>
          <t>Intermediate</t>
        </is>
      </c>
      <c r="I15" s="3" t="inlineStr"/>
      <c r="J15" s="3" t="inlineStr">
        <is>
          <t>Yes</t>
        </is>
      </c>
      <c r="K15" s="3" t="inlineStr"/>
      <c r="L15" s="3" t="inlineStr"/>
      <c r="M15" s="3" t="inlineStr"/>
      <c r="N15" s="3" t="inlineStr"/>
      <c r="O15" s="3" t="inlineStr"/>
      <c r="P15" s="3" t="inlineStr"/>
      <c r="Q15" s="3" t="inlineStr">
        <is>
          <t>Agents that work for hours or days across many context windows, usually in the cloud while the human does something else.</t>
        </is>
      </c>
      <c r="R15" s="3" t="inlineStr">
        <is>
          <t>• Rely on plan files, progress notes, git history, test gates and compaction.
• Early models showed context anxiety (wrapping up early near the limit); newer models largely don't, so harness workarounds can become dead weight.</t>
        </is>
      </c>
      <c r="S15" s="3" t="inlineStr">
        <is>
          <t>METR's time-horizon measure keeps doubling; multi-hour autonomous runs are normal for frontier models.</t>
        </is>
      </c>
      <c r="T15" s="3" t="n">
        <v>2</v>
      </c>
    </row>
    <row r="16">
      <c r="A16" s="3" t="n">
        <v>15</v>
      </c>
      <c r="B16" s="3" t="inlineStr">
        <is>
          <t>Computer use and browser agents</t>
        </is>
      </c>
      <c r="C16" s="3" t="inlineStr">
        <is>
          <t>CUA</t>
        </is>
      </c>
      <c r="D16" s="3" t="inlineStr">
        <is>
          <t>02. Agents and Harnesses</t>
        </is>
      </c>
      <c r="E16" s="3" t="n">
        <v>2024</v>
      </c>
      <c r="F16" s="3" t="n">
        <v>2026</v>
      </c>
      <c r="G16" s="3" t="inlineStr">
        <is>
          <t>Active in 2026</t>
        </is>
      </c>
      <c r="H16" s="3" t="inlineStr">
        <is>
          <t>Intermediate</t>
        </is>
      </c>
      <c r="I16" s="3" t="inlineStr"/>
      <c r="J16" s="3" t="inlineStr">
        <is>
          <t>Yes</t>
        </is>
      </c>
      <c r="K16" s="3" t="inlineStr"/>
      <c r="L16" s="3" t="inlineStr"/>
      <c r="M16" s="3" t="inlineStr"/>
      <c r="N16" s="3" t="inlineStr"/>
      <c r="O16" s="3" t="inlineStr"/>
      <c r="P16" s="3" t="inlineStr"/>
      <c r="Q16" s="3" t="inlineStr">
        <is>
          <t>Agents that operate a GUI from screenshots with mouse and keyboard actions, or drive a browser through the DOM and accessibility tree.</t>
        </is>
      </c>
      <c r="R16" s="3" t="inlineStr">
        <is>
          <t>• Agentic browsers embed this directly in the browser.
• Prompt injection from web content is the main security risk.</t>
        </is>
      </c>
      <c r="S16" s="3" t="inlineStr"/>
      <c r="T16" s="3" t="n">
        <v>4</v>
      </c>
    </row>
    <row r="17">
      <c r="A17" s="3" t="n">
        <v>16</v>
      </c>
      <c r="B17" s="3" t="inlineStr">
        <is>
          <t>Personal agents</t>
        </is>
      </c>
      <c r="C17" s="3" t="inlineStr">
        <is>
          <t>OpenClaw</t>
        </is>
      </c>
      <c r="D17" s="3" t="inlineStr">
        <is>
          <t>02. Agents and Harnesses</t>
        </is>
      </c>
      <c r="E17" s="3" t="n">
        <v>2026</v>
      </c>
      <c r="F17" s="3" t="n">
        <v>2026</v>
      </c>
      <c r="G17" s="3" t="inlineStr">
        <is>
          <t>New in 2026</t>
        </is>
      </c>
      <c r="H17" s="3" t="inlineStr">
        <is>
          <t>Beginner</t>
        </is>
      </c>
      <c r="I17" s="3" t="inlineStr"/>
      <c r="J17" s="3" t="inlineStr"/>
      <c r="K17" s="3" t="inlineStr"/>
      <c r="L17" s="3" t="inlineStr">
        <is>
          <t>Yes</t>
        </is>
      </c>
      <c r="M17" s="3" t="inlineStr"/>
      <c r="N17" s="3" t="inlineStr"/>
      <c r="O17" s="3" t="inlineStr">
        <is>
          <t>Yes</t>
        </is>
      </c>
      <c r="P17" s="3" t="inlineStr"/>
      <c r="Q17" s="3" t="inlineStr">
        <is>
          <t>Always-on assistants connected to messaging apps, email, calendars and files that take real actions for a person.</t>
        </is>
      </c>
      <c r="R17" s="3" t="inlineStr">
        <is>
          <t>• OpenClaw's viral open-source spread in early 2026 put millions of personal agents into daily use.
• Exposed the permission, isolation and injection problems of agents with broad personal access.</t>
        </is>
      </c>
      <c r="S17" s="3" t="inlineStr"/>
      <c r="T17" s="3" t="n">
        <v>2</v>
      </c>
    </row>
    <row r="18">
      <c r="A18" s="3" t="n">
        <v>17</v>
      </c>
      <c r="B18" s="3" t="inlineStr">
        <is>
          <t>Agent sandboxes</t>
        </is>
      </c>
      <c r="C18" s="3" t="inlineStr"/>
      <c r="D18" s="3" t="inlineStr">
        <is>
          <t>02. Agents and Harnesses</t>
        </is>
      </c>
      <c r="E18" s="3" t="n">
        <v>2024</v>
      </c>
      <c r="F18" s="3" t="n">
        <v>2026</v>
      </c>
      <c r="G18" s="3" t="inlineStr">
        <is>
          <t>Active in 2026</t>
        </is>
      </c>
      <c r="H18" s="3" t="inlineStr">
        <is>
          <t>Intermediate</t>
        </is>
      </c>
      <c r="I18" s="3" t="inlineStr"/>
      <c r="J18" s="3" t="inlineStr">
        <is>
          <t>Yes</t>
        </is>
      </c>
      <c r="K18" s="3" t="inlineStr"/>
      <c r="L18" s="3" t="inlineStr"/>
      <c r="M18" s="3" t="inlineStr"/>
      <c r="N18" s="3" t="inlineStr"/>
      <c r="O18" s="3" t="inlineStr">
        <is>
          <t>Yes</t>
        </is>
      </c>
      <c r="P18" s="3" t="inlineStr"/>
      <c r="Q18" s="3" t="inlineStr">
        <is>
          <t>Isolated environments (containers, microVMs, V8 isolates, OS-level sandboxes) where agents run code without endangering the host.</t>
        </is>
      </c>
      <c r="R18" s="3" t="inlineStr">
        <is>
          <t>• Filesystem boundaries and network egress controls are the two key levers.
• Good sandboxing reduces approval fatigue: fewer prompts, more safety.</t>
        </is>
      </c>
      <c r="S18" s="3" t="inlineStr">
        <is>
          <t>Providers now let enterprises run agent sandboxes in their own clouds while the model runs remotely.</t>
        </is>
      </c>
      <c r="T18" s="3" t="n">
        <v>4</v>
      </c>
    </row>
    <row r="19">
      <c r="A19" s="3" t="n">
        <v>18</v>
      </c>
      <c r="B19" s="3" t="inlineStr">
        <is>
          <t>Agent frameworks and SDKs</t>
        </is>
      </c>
      <c r="C19" s="3" t="inlineStr"/>
      <c r="D19" s="3" t="inlineStr">
        <is>
          <t>02. Agents and Harnesses</t>
        </is>
      </c>
      <c r="E19" s="3" t="n">
        <v>2023</v>
      </c>
      <c r="F19" s="3" t="n">
        <v>2026</v>
      </c>
      <c r="G19" s="3" t="inlineStr">
        <is>
          <t>Active in 2026</t>
        </is>
      </c>
      <c r="H19" s="3" t="inlineStr">
        <is>
          <t>Beginner</t>
        </is>
      </c>
      <c r="I19" s="3" t="inlineStr"/>
      <c r="J19" s="3" t="inlineStr"/>
      <c r="K19" s="3" t="inlineStr"/>
      <c r="L19" s="3" t="inlineStr">
        <is>
          <t>Yes</t>
        </is>
      </c>
      <c r="M19" s="3" t="inlineStr"/>
      <c r="N19" s="3" t="inlineStr"/>
      <c r="O19" s="3" t="inlineStr"/>
      <c r="P19" s="3" t="inlineStr"/>
      <c r="Q19" s="3" t="inlineStr">
        <is>
          <t>Libraries that package the loop, tools, memory, handoffs and tracing.</t>
        </is>
      </c>
      <c r="R19" s="3" t="inlineStr">
        <is>
          <t>• Vendor SDKs expose the same harness their own products use.
• Open frameworks add graphs, durable execution and multi-agent patterns.</t>
        </is>
      </c>
      <c r="S19" s="3" t="inlineStr"/>
      <c r="T19" s="3" t="n">
        <v>8</v>
      </c>
    </row>
    <row r="20">
      <c r="A20" s="3" t="n">
        <v>19</v>
      </c>
      <c r="B20" s="3" t="inlineStr">
        <is>
          <t>Durable execution and agent trajectories</t>
        </is>
      </c>
      <c r="C20" s="3" t="inlineStr"/>
      <c r="D20" s="3" t="inlineStr">
        <is>
          <t>02. Agents and Harnesses</t>
        </is>
      </c>
      <c r="E20" s="3" t="n">
        <v>2024</v>
      </c>
      <c r="F20" s="3" t="n">
        <v>2026</v>
      </c>
      <c r="G20" s="3" t="inlineStr">
        <is>
          <t>Active in 2026</t>
        </is>
      </c>
      <c r="H20" s="3" t="inlineStr">
        <is>
          <t>Advanced</t>
        </is>
      </c>
      <c r="I20" s="3" t="inlineStr"/>
      <c r="J20" s="3" t="inlineStr">
        <is>
          <t>Yes</t>
        </is>
      </c>
      <c r="K20" s="3" t="inlineStr"/>
      <c r="L20" s="3" t="inlineStr"/>
      <c r="M20" s="3" t="inlineStr"/>
      <c r="N20" s="3" t="inlineStr"/>
      <c r="O20" s="3" t="inlineStr"/>
      <c r="P20" s="3" t="inlineStr"/>
      <c r="Q20" s="3" t="inlineStr">
        <is>
          <t>Persist every step so an agent can crash, pause for approval or wait days, then resume. Trajectory logs also feed memory, evals and training.</t>
        </is>
      </c>
      <c r="R20" s="3" t="inlineStr">
        <is>
          <t>• Workflow engines like Temporal are used as agent backbones.
• Libraries now normalise session transcripts from many harnesses into one format.</t>
        </is>
      </c>
      <c r="S20" s="3" t="inlineStr"/>
      <c r="T20" s="3" t="n">
        <v>2</v>
      </c>
    </row>
    <row r="21">
      <c r="A21" s="3" t="n">
        <v>20</v>
      </c>
      <c r="B21" s="3" t="inlineStr">
        <is>
          <t>Model Context Protocol</t>
        </is>
      </c>
      <c r="C21" s="3" t="inlineStr">
        <is>
          <t>MCP</t>
        </is>
      </c>
      <c r="D21" s="3" t="inlineStr">
        <is>
          <t>03. Protocols and Interoperability Standards</t>
        </is>
      </c>
      <c r="E21" s="3" t="n">
        <v>2024</v>
      </c>
      <c r="F21" s="3" t="n">
        <v>2026</v>
      </c>
      <c r="G21" s="3" t="inlineStr">
        <is>
          <t>Active in 2026</t>
        </is>
      </c>
      <c r="H21" s="3" t="inlineStr">
        <is>
          <t>Beginner</t>
        </is>
      </c>
      <c r="I21" s="3" t="inlineStr">
        <is>
          <t>Yes</t>
        </is>
      </c>
      <c r="J21" s="3" t="inlineStr"/>
      <c r="K21" s="3" t="inlineStr"/>
      <c r="L21" s="3" t="inlineStr"/>
      <c r="M21" s="3" t="inlineStr">
        <is>
          <t>Yes</t>
        </is>
      </c>
      <c r="N21" s="3" t="inlineStr"/>
      <c r="O21" s="3" t="inlineStr"/>
      <c r="P21" s="3" t="inlineStr"/>
      <c r="Q21" s="3" t="inlineStr">
        <is>
          <t>An open JSON-RPC protocol connecting AI applications (clients) to tools, resources and prompts exposed by servers. The de facto standard for tool integration across vendors.</t>
        </is>
      </c>
      <c r="R21" s="3" t="inlineStr">
        <is>
          <t>• 2026-07-28 revision: stateless core (no sessions or initialize handshake), server discovery on demand, cacheable list results, header-based routing.
• Formal Extensions framework; MCP Apps and Tasks ship as extensions.
• Authorization aligned with OAuth/OIDC: issuer validation, Client ID Metadata Documents, enterprise-managed authorization.</t>
        </is>
      </c>
      <c r="S21" s="3" t="inlineStr">
        <is>
          <t>The 2026-07-28 spec is the largest revision since launch, with a 12-month deprecation policy and SDK conformance tiers.</t>
        </is>
      </c>
      <c r="T21" s="3" t="n">
        <v>5</v>
      </c>
    </row>
    <row r="22">
      <c r="A22" s="3" t="n">
        <v>21</v>
      </c>
      <c r="B22" s="3" t="inlineStr">
        <is>
          <t>MCP Apps</t>
        </is>
      </c>
      <c r="C22" s="3" t="inlineStr"/>
      <c r="D22" s="3" t="inlineStr">
        <is>
          <t>03. Protocols and Interoperability Standards</t>
        </is>
      </c>
      <c r="E22" s="3" t="n">
        <v>2025</v>
      </c>
      <c r="F22" s="3" t="n">
        <v>2026</v>
      </c>
      <c r="G22" s="3" t="inlineStr">
        <is>
          <t>Active in 2026</t>
        </is>
      </c>
      <c r="H22" s="3" t="inlineStr">
        <is>
          <t>Intermediate</t>
        </is>
      </c>
      <c r="I22" s="3" t="inlineStr"/>
      <c r="J22" s="3" t="inlineStr"/>
      <c r="K22" s="3" t="inlineStr"/>
      <c r="L22" s="3" t="inlineStr"/>
      <c r="M22" s="3" t="inlineStr">
        <is>
          <t>Yes</t>
        </is>
      </c>
      <c r="N22" s="3" t="inlineStr"/>
      <c r="O22" s="3" t="inlineStr"/>
      <c r="P22" s="3" t="inlineStr"/>
      <c r="Q22" s="3" t="inlineStr">
        <is>
          <t>An MCP extension that lets servers return interactive UI rendered in a sandboxed frame, so tools can show forms, charts and pickers inside the chat.</t>
        </is>
      </c>
      <c r="R22" s="3" t="inlineStr">
        <is>
          <t>• Standardised as an extension in the 2026-07-28 release.</t>
        </is>
      </c>
      <c r="S22" s="3" t="inlineStr"/>
      <c r="T22" s="3" t="n">
        <v>1</v>
      </c>
    </row>
    <row r="23">
      <c r="A23" s="3" t="n">
        <v>22</v>
      </c>
      <c r="B23" s="3" t="inlineStr">
        <is>
          <t>MCP Tasks</t>
        </is>
      </c>
      <c r="C23" s="3" t="inlineStr"/>
      <c r="D23" s="3" t="inlineStr">
        <is>
          <t>03. Protocols and Interoperability Standards</t>
        </is>
      </c>
      <c r="E23" s="3" t="n">
        <v>2025</v>
      </c>
      <c r="F23" s="3" t="n">
        <v>2026</v>
      </c>
      <c r="G23" s="3" t="inlineStr">
        <is>
          <t>Active in 2026</t>
        </is>
      </c>
      <c r="H23" s="3" t="inlineStr">
        <is>
          <t>Intermediate</t>
        </is>
      </c>
      <c r="I23" s="3" t="inlineStr"/>
      <c r="J23" s="3" t="inlineStr"/>
      <c r="K23" s="3" t="inlineStr"/>
      <c r="L23" s="3" t="inlineStr"/>
      <c r="M23" s="3" t="inlineStr">
        <is>
          <t>Yes</t>
        </is>
      </c>
      <c r="N23" s="3" t="inlineStr"/>
      <c r="O23" s="3" t="inlineStr"/>
      <c r="P23" s="3" t="inlineStr"/>
      <c r="Q23" s="3" t="inlineStr">
        <is>
          <t>An extension for long-running work: a server can accept a job, stream progress and let the client check back or steer mid-flight.</t>
        </is>
      </c>
      <c r="R23" s="3" t="inlineStr">
        <is>
          <t>• Paired with subscriptions and progress notifications for push-style updates.</t>
        </is>
      </c>
      <c r="S23" s="3" t="inlineStr"/>
      <c r="T23" s="3" t="n">
        <v>1</v>
      </c>
    </row>
    <row r="24">
      <c r="A24" s="3" t="n">
        <v>23</v>
      </c>
      <c r="B24" s="3" t="inlineStr">
        <is>
          <t>Agent2Agent protocol</t>
        </is>
      </c>
      <c r="C24" s="3" t="inlineStr">
        <is>
          <t>A2A</t>
        </is>
      </c>
      <c r="D24" s="3" t="inlineStr">
        <is>
          <t>03. Protocols and Interoperability Standards</t>
        </is>
      </c>
      <c r="E24" s="3" t="n">
        <v>2025</v>
      </c>
      <c r="F24" s="3" t="n">
        <v>2026</v>
      </c>
      <c r="G24" s="3" t="inlineStr">
        <is>
          <t>Active in 2026</t>
        </is>
      </c>
      <c r="H24" s="3" t="inlineStr">
        <is>
          <t>Intermediate</t>
        </is>
      </c>
      <c r="I24" s="3" t="inlineStr"/>
      <c r="J24" s="3" t="inlineStr"/>
      <c r="K24" s="3" t="inlineStr"/>
      <c r="L24" s="3" t="inlineStr"/>
      <c r="M24" s="3" t="inlineStr">
        <is>
          <t>Yes</t>
        </is>
      </c>
      <c r="N24" s="3" t="inlineStr"/>
      <c r="O24" s="3" t="inlineStr"/>
      <c r="P24" s="3" t="inlineStr"/>
      <c r="Q24" s="3" t="inlineStr">
        <is>
          <t>An open protocol under the Linux Foundation for agents from different vendors to discover each other via Agent Cards, exchange tasks and stream results.</t>
        </is>
      </c>
      <c r="R24" s="3" t="inlineStr">
        <is>
          <t>• MCP is agent-to-tool; A2A is agent-to-agent.</t>
        </is>
      </c>
      <c r="S24" s="3" t="inlineStr"/>
      <c r="T24" s="3" t="n">
        <v>2</v>
      </c>
    </row>
    <row r="25">
      <c r="A25" s="3" t="n">
        <v>24</v>
      </c>
      <c r="B25" s="3" t="inlineStr">
        <is>
          <t>Agentic AI Foundation</t>
        </is>
      </c>
      <c r="C25" s="3" t="inlineStr">
        <is>
          <t>AAIF</t>
        </is>
      </c>
      <c r="D25" s="3" t="inlineStr">
        <is>
          <t>03. Protocols and Interoperability Standards</t>
        </is>
      </c>
      <c r="E25" s="3" t="n">
        <v>2025</v>
      </c>
      <c r="F25" s="3" t="n">
        <v>2026</v>
      </c>
      <c r="G25" s="3" t="inlineStr">
        <is>
          <t>Active in 2026</t>
        </is>
      </c>
      <c r="H25" s="3" t="inlineStr">
        <is>
          <t>Beginner</t>
        </is>
      </c>
      <c r="I25" s="3" t="inlineStr"/>
      <c r="J25" s="3" t="inlineStr"/>
      <c r="K25" s="3" t="inlineStr"/>
      <c r="L25" s="3" t="inlineStr"/>
      <c r="M25" s="3" t="inlineStr">
        <is>
          <t>Yes</t>
        </is>
      </c>
      <c r="N25" s="3" t="inlineStr"/>
      <c r="O25" s="3" t="inlineStr"/>
      <c r="P25" s="3" t="inlineStr"/>
      <c r="Q25" s="3" t="inlineStr">
        <is>
          <t>A Linux Foundation home for vendor-neutral agent standards, founded December 2025 with MCP, AGENTS.md and goose.</t>
        </is>
      </c>
      <c r="R25" s="3" t="inlineStr">
        <is>
          <t>• Neutral governance so no single vendor controls core agent standards.
• Hosts specs, reference implementations and working groups.</t>
        </is>
      </c>
      <c r="S25" s="3" t="inlineStr"/>
      <c r="T25" s="3" t="n">
        <v>2</v>
      </c>
    </row>
    <row r="26">
      <c r="A26" s="3" t="n">
        <v>25</v>
      </c>
      <c r="B26" s="3" t="inlineStr">
        <is>
          <t>Agent Skills</t>
        </is>
      </c>
      <c r="C26" s="3" t="inlineStr">
        <is>
          <t>SKILL.md</t>
        </is>
      </c>
      <c r="D26" s="3" t="inlineStr">
        <is>
          <t>03. Protocols and Interoperability Standards</t>
        </is>
      </c>
      <c r="E26" s="3" t="n">
        <v>2025</v>
      </c>
      <c r="F26" s="3" t="n">
        <v>2026</v>
      </c>
      <c r="G26" s="3" t="inlineStr">
        <is>
          <t>Active in 2026</t>
        </is>
      </c>
      <c r="H26" s="3" t="inlineStr">
        <is>
          <t>Beginner</t>
        </is>
      </c>
      <c r="I26" s="3" t="inlineStr"/>
      <c r="J26" s="3" t="inlineStr">
        <is>
          <t>Yes</t>
        </is>
      </c>
      <c r="K26" s="3" t="inlineStr"/>
      <c r="L26" s="3" t="inlineStr"/>
      <c r="M26" s="3" t="inlineStr">
        <is>
          <t>Yes</t>
        </is>
      </c>
      <c r="N26" s="3" t="inlineStr"/>
      <c r="O26" s="3" t="inlineStr"/>
      <c r="P26" s="3" t="inlineStr"/>
      <c r="Q26" s="3" t="inlineStr">
        <is>
          <t>Folders with a SKILL.md (name, description, instructions) plus optional scripts that an agent loads only when relevant (progressive disclosure).</t>
        </is>
      </c>
      <c r="R26" s="3" t="inlineStr">
        <is>
          <t>• Published as an open standard; the same skill works across agent products.
• Cheap way to package team know-how, house style and workflows.</t>
        </is>
      </c>
      <c r="S26" s="3" t="inlineStr"/>
      <c r="T26" s="3" t="n">
        <v>3</v>
      </c>
    </row>
    <row r="27">
      <c r="A27" s="3" t="n">
        <v>26</v>
      </c>
      <c r="B27" s="3" t="inlineStr">
        <is>
          <t>AGENTS.md</t>
        </is>
      </c>
      <c r="C27" s="3" t="inlineStr"/>
      <c r="D27" s="3" t="inlineStr">
        <is>
          <t>03. Protocols and Interoperability Standards</t>
        </is>
      </c>
      <c r="E27" s="3" t="n">
        <v>2025</v>
      </c>
      <c r="F27" s="3" t="n">
        <v>2026</v>
      </c>
      <c r="G27" s="3" t="inlineStr">
        <is>
          <t>Active in 2026</t>
        </is>
      </c>
      <c r="H27" s="3" t="inlineStr">
        <is>
          <t>Beginner</t>
        </is>
      </c>
      <c r="I27" s="3" t="inlineStr"/>
      <c r="J27" s="3" t="inlineStr"/>
      <c r="K27" s="3" t="inlineStr"/>
      <c r="L27" s="3" t="inlineStr"/>
      <c r="M27" s="3" t="inlineStr">
        <is>
          <t>Yes</t>
        </is>
      </c>
      <c r="N27" s="3" t="inlineStr"/>
      <c r="O27" s="3" t="inlineStr"/>
      <c r="P27" s="3" t="inlineStr"/>
      <c r="Q27" s="3" t="inlineStr">
        <is>
          <t>A Markdown file at the repo root telling coding agents how to build, test and follow conventions: a README for agents.</t>
        </is>
      </c>
      <c r="R27" s="3" t="inlineStr">
        <is>
          <t>• CLAUDE.md plays the same role in Claude Code.</t>
        </is>
      </c>
      <c r="S27" s="3" t="inlineStr"/>
      <c r="T27" s="3" t="n">
        <v>2</v>
      </c>
    </row>
    <row r="28">
      <c r="A28" s="3" t="n">
        <v>27</v>
      </c>
      <c r="B28" s="3" t="inlineStr">
        <is>
          <t>Agent Client Protocol</t>
        </is>
      </c>
      <c r="C28" s="3" t="inlineStr">
        <is>
          <t>ACP</t>
        </is>
      </c>
      <c r="D28" s="3" t="inlineStr">
        <is>
          <t>03. Protocols and Interoperability Standards</t>
        </is>
      </c>
      <c r="E28" s="3" t="n">
        <v>2025</v>
      </c>
      <c r="F28" s="3" t="n">
        <v>2026</v>
      </c>
      <c r="G28" s="3" t="inlineStr">
        <is>
          <t>Active in 2026</t>
        </is>
      </c>
      <c r="H28" s="3" t="inlineStr">
        <is>
          <t>Intermediate</t>
        </is>
      </c>
      <c r="I28" s="3" t="inlineStr"/>
      <c r="J28" s="3" t="inlineStr"/>
      <c r="K28" s="3" t="inlineStr"/>
      <c r="L28" s="3" t="inlineStr"/>
      <c r="M28" s="3" t="inlineStr">
        <is>
          <t>Yes</t>
        </is>
      </c>
      <c r="N28" s="3" t="inlineStr"/>
      <c r="O28" s="3" t="inlineStr"/>
      <c r="P28" s="3" t="inlineStr"/>
      <c r="Q28" s="3" t="inlineStr">
        <is>
          <t>An editor-to-agent protocol similar in spirit to LSP, so any coding agent can plug into any editor.</t>
        </is>
      </c>
      <c r="R28" s="3" t="inlineStr">
        <is>
          <t>• Editors act as clients; agents run as subprocesses speaking JSON-RPC.
• Lets one agent work in Zed, JetBrains, Neovim and others without per-editor plugins.</t>
        </is>
      </c>
      <c r="S28" s="3" t="inlineStr"/>
      <c r="T28" s="3" t="n">
        <v>2</v>
      </c>
    </row>
    <row r="29">
      <c r="A29" s="3" t="n">
        <v>28</v>
      </c>
      <c r="B29" s="3" t="inlineStr">
        <is>
          <t>AG-UI</t>
        </is>
      </c>
      <c r="C29" s="3" t="inlineStr"/>
      <c r="D29" s="3" t="inlineStr">
        <is>
          <t>03. Protocols and Interoperability Standards</t>
        </is>
      </c>
      <c r="E29" s="3" t="n">
        <v>2025</v>
      </c>
      <c r="F29" s="3" t="n">
        <v>2025</v>
      </c>
      <c r="G29" s="3" t="inlineStr">
        <is>
          <t>Established</t>
        </is>
      </c>
      <c r="H29" s="3" t="inlineStr">
        <is>
          <t>Intermediate</t>
        </is>
      </c>
      <c r="I29" s="3" t="inlineStr"/>
      <c r="J29" s="3" t="inlineStr"/>
      <c r="K29" s="3" t="inlineStr"/>
      <c r="L29" s="3" t="inlineStr"/>
      <c r="M29" s="3" t="inlineStr">
        <is>
          <t>Yes</t>
        </is>
      </c>
      <c r="N29" s="3" t="inlineStr"/>
      <c r="O29" s="3" t="inlineStr"/>
      <c r="P29" s="3" t="inlineStr"/>
      <c r="Q29" s="3" t="inlineStr">
        <is>
          <t>An event-based protocol for streaming agent state, tool calls and UI updates between backends and frontends.</t>
        </is>
      </c>
      <c r="R29" s="3" t="inlineStr">
        <is>
          <t>• Streams typed events: text deltas, tool calls, state patches, human-input requests.
• Complements MCP (tools) and A2A (agents) on the user-facing side.</t>
        </is>
      </c>
      <c r="S29" s="3" t="inlineStr"/>
      <c r="T29" s="3" t="n">
        <v>2</v>
      </c>
    </row>
    <row r="30">
      <c r="A30" s="3" t="n">
        <v>29</v>
      </c>
      <c r="B30" s="3" t="inlineStr">
        <is>
          <t>Agentic commerce protocols</t>
        </is>
      </c>
      <c r="C30" s="3" t="inlineStr">
        <is>
          <t>ACP, AP2, UCP, x402</t>
        </is>
      </c>
      <c r="D30" s="3" t="inlineStr">
        <is>
          <t>03. Protocols and Interoperability Standards</t>
        </is>
      </c>
      <c r="E30" s="3" t="n">
        <v>2025</v>
      </c>
      <c r="F30" s="3" t="n">
        <v>2026</v>
      </c>
      <c r="G30" s="3" t="inlineStr">
        <is>
          <t>Active in 2026</t>
        </is>
      </c>
      <c r="H30" s="3" t="inlineStr">
        <is>
          <t>Intermediate</t>
        </is>
      </c>
      <c r="I30" s="3" t="inlineStr"/>
      <c r="J30" s="3" t="inlineStr"/>
      <c r="K30" s="3" t="inlineStr"/>
      <c r="L30" s="3" t="inlineStr"/>
      <c r="M30" s="3" t="inlineStr">
        <is>
          <t>Yes</t>
        </is>
      </c>
      <c r="N30" s="3" t="inlineStr">
        <is>
          <t>Yes</t>
        </is>
      </c>
      <c r="O30" s="3" t="inlineStr"/>
      <c r="P30" s="3" t="inlineStr"/>
      <c r="Q30" s="3" t="inlineStr">
        <is>
          <t>Standards that let agents shop and pay for users: checkout (Agentic Commerce Protocol), verifiable payment mandates (AP2), merchant integration (UCP) and machine-to-machine payments over HTTP 402 (x402).</t>
        </is>
      </c>
      <c r="R30" s="3" t="inlineStr">
        <is>
          <t>• Mandates prove the user authorised a purchase.
• x402 enables per-request payments between agents and APIs.</t>
        </is>
      </c>
      <c r="S30" s="3" t="inlineStr"/>
      <c r="T30" s="3" t="n">
        <v>4</v>
      </c>
    </row>
    <row r="31">
      <c r="A31" s="3" t="n">
        <v>30</v>
      </c>
      <c r="B31" s="3" t="inlineStr">
        <is>
          <t>llms.txt</t>
        </is>
      </c>
      <c r="C31" s="3" t="inlineStr"/>
      <c r="D31" s="3" t="inlineStr">
        <is>
          <t>03. Protocols and Interoperability Standards</t>
        </is>
      </c>
      <c r="E31" s="3" t="n">
        <v>2024</v>
      </c>
      <c r="F31" s="3" t="n">
        <v>2025</v>
      </c>
      <c r="G31" s="3" t="inlineStr">
        <is>
          <t>Established</t>
        </is>
      </c>
      <c r="H31" s="3" t="inlineStr">
        <is>
          <t>Beginner</t>
        </is>
      </c>
      <c r="I31" s="3" t="inlineStr"/>
      <c r="J31" s="3" t="inlineStr"/>
      <c r="K31" s="3" t="inlineStr"/>
      <c r="L31" s="3" t="inlineStr"/>
      <c r="M31" s="3" t="inlineStr">
        <is>
          <t>Yes</t>
        </is>
      </c>
      <c r="N31" s="3" t="inlineStr"/>
      <c r="O31" s="3" t="inlineStr"/>
      <c r="P31" s="3" t="inlineStr"/>
      <c r="Q31" s="3" t="inlineStr">
        <is>
          <t>A proposed file at a website root that gives LLMs a curated Markdown map of the site's most useful content.</t>
        </is>
      </c>
      <c r="R31" s="3" t="inlineStr">
        <is>
          <t>• Plain Markdown with links and short descriptions.
• Often paired with .md versions of docs pages for clean agent reading.</t>
        </is>
      </c>
      <c r="S31" s="3" t="inlineStr"/>
      <c r="T31" s="3" t="n">
        <v>1</v>
      </c>
    </row>
    <row r="32">
      <c r="A32" s="3" t="n">
        <v>31</v>
      </c>
      <c r="B32" s="3" t="inlineStr">
        <is>
          <t>OpenTelemetry GenAI conventions</t>
        </is>
      </c>
      <c r="C32" s="3" t="inlineStr">
        <is>
          <t>OTel GenAI</t>
        </is>
      </c>
      <c r="D32" s="3" t="inlineStr">
        <is>
          <t>03. Protocols and Interoperability Standards</t>
        </is>
      </c>
      <c r="E32" s="3" t="n">
        <v>2024</v>
      </c>
      <c r="F32" s="3" t="n">
        <v>2026</v>
      </c>
      <c r="G32" s="3" t="inlineStr">
        <is>
          <t>Active in 2026</t>
        </is>
      </c>
      <c r="H32" s="3" t="inlineStr">
        <is>
          <t>Intermediate</t>
        </is>
      </c>
      <c r="I32" s="3" t="inlineStr"/>
      <c r="J32" s="3" t="inlineStr">
        <is>
          <t>Yes</t>
        </is>
      </c>
      <c r="K32" s="3" t="inlineStr"/>
      <c r="L32" s="3" t="inlineStr"/>
      <c r="M32" s="3" t="inlineStr">
        <is>
          <t>Yes</t>
        </is>
      </c>
      <c r="N32" s="3" t="inlineStr"/>
      <c r="O32" s="3" t="inlineStr"/>
      <c r="P32" s="3" t="inlineStr"/>
      <c r="Q32" s="3" t="inlineStr">
        <is>
          <t>Standard span and attribute names for LLM calls, tokens, tool invocations and agent steps, so traces from any framework land in any backend.</t>
        </is>
      </c>
      <c r="R32" s="3" t="inlineStr">
        <is>
          <t>• Standard attributes for model name, token counts, prompts and tool calls.
• Supported by most LLMOps tools and agent SDKs.</t>
        </is>
      </c>
      <c r="S32" s="3" t="inlineStr"/>
      <c r="T32" s="3" t="n">
        <v>1</v>
      </c>
    </row>
    <row r="33">
      <c r="A33" s="3" t="n">
        <v>32</v>
      </c>
      <c r="B33" s="3" t="inlineStr">
        <is>
          <t>Coding agents</t>
        </is>
      </c>
      <c r="C33" s="3" t="inlineStr"/>
      <c r="D33" s="3" t="inlineStr">
        <is>
          <t>04. Agentic Coding and Developer Workflow</t>
        </is>
      </c>
      <c r="E33" s="3" t="n">
        <v>2024</v>
      </c>
      <c r="F33" s="3" t="n">
        <v>2026</v>
      </c>
      <c r="G33" s="3" t="inlineStr">
        <is>
          <t>Active in 2026</t>
        </is>
      </c>
      <c r="H33" s="3" t="inlineStr">
        <is>
          <t>Beginner</t>
        </is>
      </c>
      <c r="I33" s="3" t="inlineStr"/>
      <c r="J33" s="3" t="inlineStr">
        <is>
          <t>Yes</t>
        </is>
      </c>
      <c r="K33" s="3" t="inlineStr"/>
      <c r="L33" s="3" t="inlineStr">
        <is>
          <t>Yes</t>
        </is>
      </c>
      <c r="M33" s="3" t="inlineStr"/>
      <c r="N33" s="3" t="inlineStr"/>
      <c r="O33" s="3" t="inlineStr"/>
      <c r="P33" s="3" t="inlineStr"/>
      <c r="Q33" s="3" t="inlineStr">
        <is>
          <t>Terminal, IDE, desktop and cloud agents that read a repo, edit files, run commands and tests, and open pull requests.</t>
        </is>
      </c>
      <c r="R33" s="3" t="inlineStr">
        <is>
          <t>• They differ mostly in harness, permissions and UX, not the loop itself.
• Cross-vendor plugins appeared: e.g. a Codex plugin for Claude Code.</t>
        </is>
      </c>
      <c r="S33" s="3" t="inlineStr">
        <is>
          <t>Claude Code, Codex, Gemini CLI, Cursor, Google Antigravity and open tools like OpenHands and OpenCode are the main options in 2026.</t>
        </is>
      </c>
      <c r="T33" s="3" t="n">
        <v>6</v>
      </c>
    </row>
    <row r="34">
      <c r="A34" s="3" t="n">
        <v>33</v>
      </c>
      <c r="B34" s="3" t="inlineStr">
        <is>
          <t>Vibe coding</t>
        </is>
      </c>
      <c r="C34" s="3" t="inlineStr"/>
      <c r="D34" s="3" t="inlineStr">
        <is>
          <t>04. Agentic Coding and Developer Workflow</t>
        </is>
      </c>
      <c r="E34" s="3" t="n">
        <v>2025</v>
      </c>
      <c r="F34" s="3" t="n">
        <v>2025</v>
      </c>
      <c r="G34" s="3" t="inlineStr">
        <is>
          <t>Established</t>
        </is>
      </c>
      <c r="H34" s="3" t="inlineStr">
        <is>
          <t>Beginner</t>
        </is>
      </c>
      <c r="I34" s="3" t="inlineStr"/>
      <c r="J34" s="3" t="inlineStr"/>
      <c r="K34" s="3" t="inlineStr"/>
      <c r="L34" s="3" t="inlineStr"/>
      <c r="M34" s="3" t="inlineStr"/>
      <c r="N34" s="3" t="inlineStr"/>
      <c r="O34" s="3" t="inlineStr"/>
      <c r="P34" s="3" t="inlineStr"/>
      <c r="Q34" s="3" t="inlineStr">
        <is>
          <t>Coined by Andrej Karpathy: building software by describing it and accepting AI output without reading it closely. Fine for prototypes, risky for production.</t>
        </is>
      </c>
      <c r="R34" s="3" t="inlineStr">
        <is>
          <t>• Useful for throwaway prototypes, personal tools and learning.
• Unreviewed code carries security and maintenance risk in production.</t>
        </is>
      </c>
      <c r="S34" s="3" t="inlineStr"/>
      <c r="T34" s="3" t="n">
        <v>2</v>
      </c>
    </row>
    <row r="35">
      <c r="A35" s="3" t="n">
        <v>34</v>
      </c>
      <c r="B35" s="3" t="inlineStr">
        <is>
          <t>Agentic engineering / Software 3.0</t>
        </is>
      </c>
      <c r="C35" s="3" t="inlineStr"/>
      <c r="D35" s="3" t="inlineStr">
        <is>
          <t>04. Agentic Coding and Developer Workflow</t>
        </is>
      </c>
      <c r="E35" s="3" t="n">
        <v>2025</v>
      </c>
      <c r="F35" s="3" t="n">
        <v>2026</v>
      </c>
      <c r="G35" s="3" t="inlineStr">
        <is>
          <t>Active in 2026</t>
        </is>
      </c>
      <c r="H35" s="3" t="inlineStr">
        <is>
          <t>Intermediate</t>
        </is>
      </c>
      <c r="I35" s="3" t="inlineStr"/>
      <c r="J35" s="3" t="inlineStr">
        <is>
          <t>Yes</t>
        </is>
      </c>
      <c r="K35" s="3" t="inlineStr"/>
      <c r="L35" s="3" t="inlineStr"/>
      <c r="M35" s="3" t="inlineStr"/>
      <c r="N35" s="3" t="inlineStr"/>
      <c r="O35" s="3" t="inlineStr"/>
      <c r="P35" s="3" t="inlineStr"/>
      <c r="Q35" s="3" t="inlineStr">
        <is>
          <t>The professional counterpart to vibe coding: engineers specify intent, design constraints and review outcomes while agents write most of the code.</t>
        </is>
      </c>
      <c r="R35" s="3" t="inlineStr">
        <is>
          <t>• Humans steer, agents execute.
• Prompts in English become a new kind of program (Software 3.0).</t>
        </is>
      </c>
      <c r="S35" s="3" t="inlineStr"/>
      <c r="T35" s="3" t="n">
        <v>2</v>
      </c>
    </row>
    <row r="36">
      <c r="A36" s="3" t="n">
        <v>35</v>
      </c>
      <c r="B36" s="3" t="inlineStr">
        <is>
          <t>Spec-driven development</t>
        </is>
      </c>
      <c r="C36" s="3" t="inlineStr">
        <is>
          <t>SDD</t>
        </is>
      </c>
      <c r="D36" s="3" t="inlineStr">
        <is>
          <t>04. Agentic Coding and Developer Workflow</t>
        </is>
      </c>
      <c r="E36" s="3" t="n">
        <v>2025</v>
      </c>
      <c r="F36" s="3" t="n">
        <v>2026</v>
      </c>
      <c r="G36" s="3" t="inlineStr">
        <is>
          <t>Active in 2026</t>
        </is>
      </c>
      <c r="H36" s="3" t="inlineStr">
        <is>
          <t>Intermediate</t>
        </is>
      </c>
      <c r="I36" s="3" t="inlineStr"/>
      <c r="J36" s="3" t="inlineStr">
        <is>
          <t>Yes</t>
        </is>
      </c>
      <c r="K36" s="3" t="inlineStr"/>
      <c r="L36" s="3" t="inlineStr"/>
      <c r="M36" s="3" t="inlineStr"/>
      <c r="N36" s="3" t="inlineStr"/>
      <c r="O36" s="3" t="inlineStr"/>
      <c r="P36" s="3" t="inlineStr"/>
      <c r="Q36" s="3" t="inlineStr">
        <is>
          <t>Write a structured spec and plan first, then let agents implement against it, keeping the spec as source of truth.</t>
        </is>
      </c>
      <c r="R36" s="3" t="inlineStr">
        <is>
          <t>• Typical flow: specify, plan, break into tasks, implement, verify.
• The spec doubles as durable context for future agent sessions.</t>
        </is>
      </c>
      <c r="S36" s="3" t="inlineStr"/>
      <c r="T36" s="3" t="n">
        <v>2</v>
      </c>
    </row>
    <row r="37">
      <c r="A37" s="3" t="n">
        <v>36</v>
      </c>
      <c r="B37" s="3" t="inlineStr">
        <is>
          <t>Ralph loop</t>
        </is>
      </c>
      <c r="C37" s="3" t="inlineStr">
        <is>
          <t>Ralph Wiggum technique</t>
        </is>
      </c>
      <c r="D37" s="3" t="inlineStr">
        <is>
          <t>04. Agentic Coding and Developer Workflow</t>
        </is>
      </c>
      <c r="E37" s="3" t="n">
        <v>2025</v>
      </c>
      <c r="F37" s="3" t="n">
        <v>2026</v>
      </c>
      <c r="G37" s="3" t="inlineStr">
        <is>
          <t>Active in 2026</t>
        </is>
      </c>
      <c r="H37" s="3" t="inlineStr">
        <is>
          <t>Intermediate</t>
        </is>
      </c>
      <c r="I37" s="3" t="inlineStr"/>
      <c r="J37" s="3" t="inlineStr"/>
      <c r="K37" s="3" t="inlineStr"/>
      <c r="L37" s="3" t="inlineStr"/>
      <c r="M37" s="3" t="inlineStr"/>
      <c r="N37" s="3" t="inlineStr"/>
      <c r="O37" s="3" t="inlineStr"/>
      <c r="P37" s="3" t="inlineStr"/>
      <c r="Q37" s="3" t="inlineStr">
        <is>
          <t>Running a coding agent in a simple while-loop against the same prompt and plan file until the job is done.</t>
        </is>
      </c>
      <c r="R37" s="3" t="inlineStr">
        <is>
          <t>• Progress lives in files and git, not in the context window.
• Works best with strong tests so each iteration can check its own work.</t>
        </is>
      </c>
      <c r="S37" s="3" t="inlineStr"/>
      <c r="T37" s="3" t="n">
        <v>1</v>
      </c>
    </row>
    <row r="38">
      <c r="A38" s="3" t="n">
        <v>37</v>
      </c>
      <c r="B38" s="3" t="inlineStr">
        <is>
          <t>Hooks, plugins and slash commands</t>
        </is>
      </c>
      <c r="C38" s="3" t="inlineStr"/>
      <c r="D38" s="3" t="inlineStr">
        <is>
          <t>04. Agentic Coding and Developer Workflow</t>
        </is>
      </c>
      <c r="E38" s="3" t="n">
        <v>2025</v>
      </c>
      <c r="F38" s="3" t="n">
        <v>2026</v>
      </c>
      <c r="G38" s="3" t="inlineStr">
        <is>
          <t>Active in 2026</t>
        </is>
      </c>
      <c r="H38" s="3" t="inlineStr">
        <is>
          <t>Intermediate</t>
        </is>
      </c>
      <c r="I38" s="3" t="inlineStr"/>
      <c r="J38" s="3" t="inlineStr">
        <is>
          <t>Yes</t>
        </is>
      </c>
      <c r="K38" s="3" t="inlineStr"/>
      <c r="L38" s="3" t="inlineStr"/>
      <c r="M38" s="3" t="inlineStr"/>
      <c r="N38" s="3" t="inlineStr"/>
      <c r="O38" s="3" t="inlineStr"/>
      <c r="P38" s="3" t="inlineStr"/>
      <c r="Q38" s="3" t="inlineStr">
        <is>
          <t>Extension points in coding agents: hooks run deterministic scripts at lifecycle events; plugins bundle commands, subagents, skills, hooks and MCP servers.</t>
        </is>
      </c>
      <c r="R38" s="3" t="inlineStr">
        <is>
          <t>• Hooks enforce rules deterministically (formatters, linters, blocked commands).
• Plugins make a team's setup installable in one step.</t>
        </is>
      </c>
      <c r="S38" s="3" t="inlineStr"/>
      <c r="T38" s="3" t="n">
        <v>2</v>
      </c>
    </row>
    <row r="39">
      <c r="A39" s="3" t="n">
        <v>38</v>
      </c>
      <c r="B39" s="3" t="inlineStr">
        <is>
          <t>Parallel agents with git worktrees</t>
        </is>
      </c>
      <c r="C39" s="3" t="inlineStr"/>
      <c r="D39" s="3" t="inlineStr">
        <is>
          <t>04. Agentic Coding and Developer Workflow</t>
        </is>
      </c>
      <c r="E39" s="3" t="n">
        <v>2025</v>
      </c>
      <c r="F39" s="3" t="n">
        <v>2026</v>
      </c>
      <c r="G39" s="3" t="inlineStr">
        <is>
          <t>Active in 2026</t>
        </is>
      </c>
      <c r="H39" s="3" t="inlineStr">
        <is>
          <t>Intermediate</t>
        </is>
      </c>
      <c r="I39" s="3" t="inlineStr"/>
      <c r="J39" s="3" t="inlineStr">
        <is>
          <t>Yes</t>
        </is>
      </c>
      <c r="K39" s="3" t="inlineStr"/>
      <c r="L39" s="3" t="inlineStr"/>
      <c r="M39" s="3" t="inlineStr"/>
      <c r="N39" s="3" t="inlineStr"/>
      <c r="O39" s="3" t="inlineStr"/>
      <c r="P39" s="3" t="inlineStr"/>
      <c r="Q39" s="3" t="inlineStr">
        <is>
          <t>Run several agents at once, each in its own worktree or container, then review and merge.</t>
        </is>
      </c>
      <c r="R39" s="3" t="inlineStr">
        <is>
          <t>• Each agent gets its own branch and working directory, avoiding conflicts.
• The human shifts from typing to dispatching and reviewing.</t>
        </is>
      </c>
      <c r="S39" s="3" t="inlineStr"/>
      <c r="T39" s="3" t="n">
        <v>2</v>
      </c>
    </row>
    <row r="40">
      <c r="A40" s="3" t="n">
        <v>39</v>
      </c>
      <c r="B40" s="3" t="inlineStr">
        <is>
          <t>The review bottleneck</t>
        </is>
      </c>
      <c r="C40" s="3" t="inlineStr"/>
      <c r="D40" s="3" t="inlineStr">
        <is>
          <t>04. Agentic Coding and Developer Workflow</t>
        </is>
      </c>
      <c r="E40" s="3" t="n">
        <v>2026</v>
      </c>
      <c r="F40" s="3" t="n">
        <v>2026</v>
      </c>
      <c r="G40" s="3" t="inlineStr">
        <is>
          <t>New in 2026</t>
        </is>
      </c>
      <c r="H40" s="3" t="inlineStr">
        <is>
          <t>Intermediate</t>
        </is>
      </c>
      <c r="I40" s="3" t="inlineStr"/>
      <c r="J40" s="3" t="inlineStr">
        <is>
          <t>Yes</t>
        </is>
      </c>
      <c r="K40" s="3" t="inlineStr"/>
      <c r="L40" s="3" t="inlineStr"/>
      <c r="M40" s="3" t="inlineStr"/>
      <c r="N40" s="3" t="inlineStr"/>
      <c r="O40" s="3" t="inlineStr"/>
      <c r="P40" s="3" t="inlineStr"/>
      <c r="Q40" s="3" t="inlineStr">
        <is>
          <t>When code generation gets cheap, human review becomes the constraint. Changes grow larger and harder to review, and plausible-looking AI code hides subtle bugs.</t>
        </is>
      </c>
      <c r="R40" s="3" t="inlineStr">
        <is>
          <t>• Mitigations: agent reviewers, architecture rules as tests, smaller PRs, agents that exercise the app themselves.</t>
        </is>
      </c>
      <c r="S40" s="3" t="inlineStr"/>
      <c r="T40" s="3" t="n">
        <v>1</v>
      </c>
    </row>
    <row r="41">
      <c r="A41" s="3" t="n">
        <v>40</v>
      </c>
      <c r="B41" s="3" t="inlineStr">
        <is>
          <t>Context engineering</t>
        </is>
      </c>
      <c r="C41" s="3" t="inlineStr"/>
      <c r="D41" s="3" t="inlineStr">
        <is>
          <t>05. Context, Memory and Retrieval</t>
        </is>
      </c>
      <c r="E41" s="3" t="n">
        <v>2025</v>
      </c>
      <c r="F41" s="3" t="n">
        <v>2026</v>
      </c>
      <c r="G41" s="3" t="inlineStr">
        <is>
          <t>Active in 2026</t>
        </is>
      </c>
      <c r="H41" s="3" t="inlineStr">
        <is>
          <t>Beginner</t>
        </is>
      </c>
      <c r="I41" s="3" t="inlineStr">
        <is>
          <t>Yes</t>
        </is>
      </c>
      <c r="J41" s="3" t="inlineStr">
        <is>
          <t>Yes</t>
        </is>
      </c>
      <c r="K41" s="3" t="inlineStr"/>
      <c r="L41" s="3" t="inlineStr"/>
      <c r="M41" s="3" t="inlineStr"/>
      <c r="N41" s="3" t="inlineStr"/>
      <c r="O41" s="3" t="inlineStr"/>
      <c r="P41" s="3" t="inlineStr"/>
      <c r="Q41" s="3" t="inlineStr">
        <is>
          <t>Curating the smallest set of high-signal tokens (instructions, tools, examples, retrieved data, history) that the model needs for its next step.</t>
        </is>
      </c>
      <c r="R41" s="3" t="inlineStr">
        <is>
          <t>• Successor to prompt engineering for agents.
• Techniques: just-in-time retrieval, compaction, structured notes, subagents with clean context.</t>
        </is>
      </c>
      <c r="S41" s="3" t="inlineStr"/>
      <c r="T41" s="3" t="n">
        <v>2</v>
      </c>
    </row>
    <row r="42">
      <c r="A42" s="3" t="n">
        <v>41</v>
      </c>
      <c r="B42" s="3" t="inlineStr">
        <is>
          <t>Context rot</t>
        </is>
      </c>
      <c r="C42" s="3" t="inlineStr"/>
      <c r="D42" s="3" t="inlineStr">
        <is>
          <t>05. Context, Memory and Retrieval</t>
        </is>
      </c>
      <c r="E42" s="3" t="n">
        <v>2025</v>
      </c>
      <c r="F42" s="3" t="n">
        <v>2025</v>
      </c>
      <c r="G42" s="3" t="inlineStr">
        <is>
          <t>Established</t>
        </is>
      </c>
      <c r="H42" s="3" t="inlineStr">
        <is>
          <t>Beginner</t>
        </is>
      </c>
      <c r="I42" s="3" t="inlineStr"/>
      <c r="J42" s="3" t="inlineStr"/>
      <c r="K42" s="3" t="inlineStr">
        <is>
          <t>Yes</t>
        </is>
      </c>
      <c r="L42" s="3" t="inlineStr"/>
      <c r="M42" s="3" t="inlineStr"/>
      <c r="N42" s="3" t="inlineStr"/>
      <c r="O42" s="3" t="inlineStr"/>
      <c r="P42" s="3" t="inlineStr"/>
      <c r="Q42" s="3" t="inlineStr">
        <is>
          <t>Accuracy degrades as input length grows, even well within the advertised window. Long context is not free.</t>
        </is>
      </c>
      <c r="R42" s="3" t="inlineStr">
        <is>
          <t>• Distractors and similar-but-wrong passages hurt more than raw length.
• Mitigate with retrieval, summarisation and subagents.</t>
        </is>
      </c>
      <c r="S42" s="3" t="inlineStr">
        <is>
          <t>Million-token windows are standard in 2026, but focused context still usually beats more context.</t>
        </is>
      </c>
      <c r="T42" s="3" t="n">
        <v>1</v>
      </c>
    </row>
    <row r="43">
      <c r="A43" s="3" t="n">
        <v>42</v>
      </c>
      <c r="B43" s="3" t="inlineStr">
        <is>
          <t>Compaction and context editing</t>
        </is>
      </c>
      <c r="C43" s="3" t="inlineStr"/>
      <c r="D43" s="3" t="inlineStr">
        <is>
          <t>05. Context, Memory and Retrieval</t>
        </is>
      </c>
      <c r="E43" s="3" t="n">
        <v>2025</v>
      </c>
      <c r="F43" s="3" t="n">
        <v>2026</v>
      </c>
      <c r="G43" s="3" t="inlineStr">
        <is>
          <t>Active in 2026</t>
        </is>
      </c>
      <c r="H43" s="3" t="inlineStr">
        <is>
          <t>Intermediate</t>
        </is>
      </c>
      <c r="I43" s="3" t="inlineStr"/>
      <c r="J43" s="3" t="inlineStr">
        <is>
          <t>Yes</t>
        </is>
      </c>
      <c r="K43" s="3" t="inlineStr"/>
      <c r="L43" s="3" t="inlineStr"/>
      <c r="M43" s="3" t="inlineStr"/>
      <c r="N43" s="3" t="inlineStr"/>
      <c r="O43" s="3" t="inlineStr"/>
      <c r="P43" s="3" t="inlineStr"/>
      <c r="Q43" s="3" t="inlineStr">
        <is>
          <t>Summarising or pruning old turns and stale tool results as a conversation nears the limit, so agents can keep working indefinitely.</t>
        </is>
      </c>
      <c r="R43" s="3" t="inlineStr">
        <is>
          <t>• Clear old tool outputs first; they are usually the largest and least useful.
• Keep decisions, open problems and file paths in the summary.</t>
        </is>
      </c>
      <c r="S43" s="3" t="inlineStr"/>
      <c r="T43" s="3" t="n">
        <v>1</v>
      </c>
    </row>
    <row r="44">
      <c r="A44" s="3" t="n">
        <v>43</v>
      </c>
      <c r="B44" s="3" t="inlineStr">
        <is>
          <t>Prompt caching</t>
        </is>
      </c>
      <c r="C44" s="3" t="inlineStr"/>
      <c r="D44" s="3" t="inlineStr">
        <is>
          <t>05. Context, Memory and Retrieval</t>
        </is>
      </c>
      <c r="E44" s="3" t="n">
        <v>2024</v>
      </c>
      <c r="F44" s="3" t="n">
        <v>2026</v>
      </c>
      <c r="G44" s="3" t="inlineStr">
        <is>
          <t>Active in 2026</t>
        </is>
      </c>
      <c r="H44" s="3" t="inlineStr">
        <is>
          <t>Intermediate</t>
        </is>
      </c>
      <c r="I44" s="3" t="inlineStr"/>
      <c r="J44" s="3" t="inlineStr">
        <is>
          <t>Yes</t>
        </is>
      </c>
      <c r="K44" s="3" t="inlineStr"/>
      <c r="L44" s="3" t="inlineStr"/>
      <c r="M44" s="3" t="inlineStr"/>
      <c r="N44" s="3" t="inlineStr"/>
      <c r="O44" s="3" t="inlineStr"/>
      <c r="P44" s="3" t="inlineStr">
        <is>
          <t>Yes</t>
        </is>
      </c>
      <c r="Q44" s="3" t="inlineStr">
        <is>
          <t>Reusing the computed KV cache for a repeated prefix across requests to cut latency and cost.</t>
        </is>
      </c>
      <c r="R44" s="3" t="inlineStr">
        <is>
          <t>• Harnesses keep prefixes stable (tool order, system prompt) so caches keep hitting.</t>
        </is>
      </c>
      <c r="S44" s="3" t="inlineStr">
        <is>
          <t>Cache-read prices were cut steeply again in 2026, making long agent sessions much cheaper.</t>
        </is>
      </c>
      <c r="T44" s="3" t="n">
        <v>1</v>
      </c>
    </row>
    <row r="45">
      <c r="A45" s="3" t="n">
        <v>44</v>
      </c>
      <c r="B45" s="3" t="inlineStr">
        <is>
          <t>Agent memory</t>
        </is>
      </c>
      <c r="C45" s="3" t="inlineStr"/>
      <c r="D45" s="3" t="inlineStr">
        <is>
          <t>05. Context, Memory and Retrieval</t>
        </is>
      </c>
      <c r="E45" s="3" t="n">
        <v>2023</v>
      </c>
      <c r="F45" s="3" t="n">
        <v>2026</v>
      </c>
      <c r="G45" s="3" t="inlineStr">
        <is>
          <t>Active in 2026</t>
        </is>
      </c>
      <c r="H45" s="3" t="inlineStr">
        <is>
          <t>Intermediate</t>
        </is>
      </c>
      <c r="I45" s="3" t="inlineStr"/>
      <c r="J45" s="3" t="inlineStr">
        <is>
          <t>Yes</t>
        </is>
      </c>
      <c r="K45" s="3" t="inlineStr">
        <is>
          <t>Yes</t>
        </is>
      </c>
      <c r="L45" s="3" t="inlineStr"/>
      <c r="M45" s="3" t="inlineStr"/>
      <c r="N45" s="3" t="inlineStr"/>
      <c r="O45" s="3" t="inlineStr"/>
      <c r="P45" s="3" t="inlineStr"/>
      <c r="Q45" s="3" t="inlineStr">
        <is>
          <t>Persisting facts, preferences and lessons beyond one context window: files the agent writes, vector or graph stores, or self-editing memory blocks.</t>
        </is>
      </c>
      <c r="R45" s="3" t="inlineStr">
        <is>
          <t>• Memory quality, provenance and forgetting are now evaluated directly.
• Related to continual learning, but done outside the weights.</t>
        </is>
      </c>
      <c r="S45" s="3" t="inlineStr"/>
      <c r="T45" s="3" t="n">
        <v>3</v>
      </c>
    </row>
    <row r="46">
      <c r="A46" s="3" t="n">
        <v>45</v>
      </c>
      <c r="B46" s="3" t="inlineStr">
        <is>
          <t>Retrieval-augmented generation</t>
        </is>
      </c>
      <c r="C46" s="3" t="inlineStr">
        <is>
          <t>RAG</t>
        </is>
      </c>
      <c r="D46" s="3" t="inlineStr">
        <is>
          <t>05. Context, Memory and Retrieval</t>
        </is>
      </c>
      <c r="E46" s="3" t="n">
        <v>2020</v>
      </c>
      <c r="F46" s="3" t="n">
        <v>2026</v>
      </c>
      <c r="G46" s="3" t="inlineStr">
        <is>
          <t>Active in 2026</t>
        </is>
      </c>
      <c r="H46" s="3" t="inlineStr">
        <is>
          <t>Beginner</t>
        </is>
      </c>
      <c r="I46" s="3" t="inlineStr">
        <is>
          <t>Yes</t>
        </is>
      </c>
      <c r="J46" s="3" t="inlineStr">
        <is>
          <t>Yes</t>
        </is>
      </c>
      <c r="K46" s="3" t="inlineStr"/>
      <c r="L46" s="3" t="inlineStr"/>
      <c r="M46" s="3" t="inlineStr"/>
      <c r="N46" s="3" t="inlineStr"/>
      <c r="O46" s="3" t="inlineStr"/>
      <c r="P46" s="3" t="inlineStr"/>
      <c r="Q46" s="3" t="inlineStr">
        <is>
          <t>Fetch relevant documents and put them in context before generating.</t>
        </is>
      </c>
      <c r="R46" s="3" t="inlineStr">
        <is>
          <t>• Modern stacks: hybrid BM25 + vector search, rerankers, contextual chunk headers, query rewriting.</t>
        </is>
      </c>
      <c r="S46" s="3" t="inlineStr"/>
      <c r="T46" s="3" t="n">
        <v>3</v>
      </c>
    </row>
    <row r="47">
      <c r="A47" s="3" t="n">
        <v>46</v>
      </c>
      <c r="B47" s="3" t="inlineStr">
        <is>
          <t>Agentic search and deep research</t>
        </is>
      </c>
      <c r="C47" s="3" t="inlineStr"/>
      <c r="D47" s="3" t="inlineStr">
        <is>
          <t>05. Context, Memory and Retrieval</t>
        </is>
      </c>
      <c r="E47" s="3" t="n">
        <v>2025</v>
      </c>
      <c r="F47" s="3" t="n">
        <v>2026</v>
      </c>
      <c r="G47" s="3" t="inlineStr">
        <is>
          <t>Active in 2026</t>
        </is>
      </c>
      <c r="H47" s="3" t="inlineStr">
        <is>
          <t>Intermediate</t>
        </is>
      </c>
      <c r="I47" s="3" t="inlineStr"/>
      <c r="J47" s="3" t="inlineStr">
        <is>
          <t>Yes</t>
        </is>
      </c>
      <c r="K47" s="3" t="inlineStr"/>
      <c r="L47" s="3" t="inlineStr"/>
      <c r="M47" s="3" t="inlineStr"/>
      <c r="N47" s="3" t="inlineStr"/>
      <c r="O47" s="3" t="inlineStr"/>
      <c r="P47" s="3" t="inlineStr"/>
      <c r="Q47" s="3" t="inlineStr">
        <is>
          <t>The agent plans queries, reads pages, follows leads and synthesises a cited report over many minutes.</t>
        </is>
      </c>
      <c r="R47" s="3" t="inlineStr">
        <is>
          <t>• Many teams prefer agentic grep/file search over vector RAG for code.</t>
        </is>
      </c>
      <c r="S47" s="3" t="inlineStr"/>
      <c r="T47" s="3" t="n">
        <v>2</v>
      </c>
    </row>
    <row r="48">
      <c r="A48" s="3" t="n">
        <v>47</v>
      </c>
      <c r="B48" s="3" t="inlineStr">
        <is>
          <t>GraphRAG</t>
        </is>
      </c>
      <c r="C48" s="3" t="inlineStr"/>
      <c r="D48" s="3" t="inlineStr">
        <is>
          <t>05. Context, Memory and Retrieval</t>
        </is>
      </c>
      <c r="E48" s="3" t="n">
        <v>2024</v>
      </c>
      <c r="F48" s="3" t="n">
        <v>2025</v>
      </c>
      <c r="G48" s="3" t="inlineStr">
        <is>
          <t>Established</t>
        </is>
      </c>
      <c r="H48" s="3" t="inlineStr">
        <is>
          <t>Intermediate</t>
        </is>
      </c>
      <c r="I48" s="3" t="inlineStr"/>
      <c r="J48" s="3" t="inlineStr"/>
      <c r="K48" s="3" t="inlineStr"/>
      <c r="L48" s="3" t="inlineStr"/>
      <c r="M48" s="3" t="inlineStr"/>
      <c r="N48" s="3" t="inlineStr"/>
      <c r="O48" s="3" t="inlineStr"/>
      <c r="P48" s="3" t="inlineStr"/>
      <c r="Q48" s="3" t="inlineStr">
        <is>
          <t>Build a knowledge graph from a corpus, then retrieve over communities and paths to answer global questions.</t>
        </is>
      </c>
      <c r="R48" s="3" t="inlineStr">
        <is>
          <t>• Entity and relation extraction with an LLM, then community summaries.
• More expensive to index than vector RAG.</t>
        </is>
      </c>
      <c r="S48" s="3" t="inlineStr"/>
      <c r="T48" s="3" t="n">
        <v>2</v>
      </c>
    </row>
    <row r="49">
      <c r="A49" s="3" t="n">
        <v>48</v>
      </c>
      <c r="B49" s="3" t="inlineStr">
        <is>
          <t>Embeddings, late interaction and Matryoshka</t>
        </is>
      </c>
      <c r="C49" s="3" t="inlineStr"/>
      <c r="D49" s="3" t="inlineStr">
        <is>
          <t>05. Context, Memory and Retrieval</t>
        </is>
      </c>
      <c r="E49" s="3" t="n">
        <v>2020</v>
      </c>
      <c r="F49" s="3" t="n">
        <v>2025</v>
      </c>
      <c r="G49" s="3" t="inlineStr">
        <is>
          <t>Established</t>
        </is>
      </c>
      <c r="H49" s="3" t="inlineStr">
        <is>
          <t>Intermediate</t>
        </is>
      </c>
      <c r="I49" s="3" t="inlineStr"/>
      <c r="J49" s="3" t="inlineStr"/>
      <c r="K49" s="3" t="inlineStr"/>
      <c r="L49" s="3" t="inlineStr"/>
      <c r="M49" s="3" t="inlineStr"/>
      <c r="N49" s="3" t="inlineStr"/>
      <c r="O49" s="3" t="inlineStr"/>
      <c r="P49" s="3" t="inlineStr"/>
      <c r="Q49" s="3" t="inlineStr">
        <is>
          <t>Dense embeddings map text to vectors; late-interaction models keep per-token vectors; Matryoshka embeddings can be truncated with little loss.</t>
        </is>
      </c>
      <c r="R49" s="3" t="inlineStr">
        <is>
          <t>• Choose embeddings by your domain and language, not only leaderboard rank.
• Rerankers usually give the biggest quality jump after the first retrieval.</t>
        </is>
      </c>
      <c r="S49" s="3" t="inlineStr"/>
      <c r="T49" s="3" t="n">
        <v>3</v>
      </c>
    </row>
    <row r="50">
      <c r="A50" s="3" t="n">
        <v>49</v>
      </c>
      <c r="B50" s="3" t="inlineStr">
        <is>
          <t>Structured outputs and constrained decoding</t>
        </is>
      </c>
      <c r="C50" s="3" t="inlineStr"/>
      <c r="D50" s="3" t="inlineStr">
        <is>
          <t>05. Context, Memory and Retrieval</t>
        </is>
      </c>
      <c r="E50" s="3" t="n">
        <v>2023</v>
      </c>
      <c r="F50" s="3" t="n">
        <v>2025</v>
      </c>
      <c r="G50" s="3" t="inlineStr">
        <is>
          <t>Established</t>
        </is>
      </c>
      <c r="H50" s="3" t="inlineStr">
        <is>
          <t>Intermediate</t>
        </is>
      </c>
      <c r="I50" s="3" t="inlineStr"/>
      <c r="J50" s="3" t="inlineStr">
        <is>
          <t>Yes</t>
        </is>
      </c>
      <c r="K50" s="3" t="inlineStr"/>
      <c r="L50" s="3" t="inlineStr"/>
      <c r="M50" s="3" t="inlineStr"/>
      <c r="N50" s="3" t="inlineStr"/>
      <c r="O50" s="3" t="inlineStr"/>
      <c r="P50" s="3" t="inlineStr"/>
      <c r="Q50" s="3" t="inlineStr">
        <is>
          <t>Force output to match a JSON schema or grammar by masking invalid tokens during decoding.</t>
        </is>
      </c>
      <c r="R50" s="3" t="inlineStr">
        <is>
          <t>• Grammar engines compile schemas into token masks for near-zero overhead.
• Guarantees valid syntax, not correct content.</t>
        </is>
      </c>
      <c r="S50" s="3" t="inlineStr"/>
      <c r="T50" s="3" t="n">
        <v>3</v>
      </c>
    </row>
    <row r="51">
      <c r="A51" s="3" t="n">
        <v>50</v>
      </c>
      <c r="B51" s="3" t="inlineStr">
        <is>
          <t>Reasoning models and test-time compute</t>
        </is>
      </c>
      <c r="C51" s="3" t="inlineStr"/>
      <c r="D51" s="3" t="inlineStr">
        <is>
          <t>06. Reasoning and Post-Training</t>
        </is>
      </c>
      <c r="E51" s="3" t="n">
        <v>2024</v>
      </c>
      <c r="F51" s="3" t="n">
        <v>2026</v>
      </c>
      <c r="G51" s="3" t="inlineStr">
        <is>
          <t>Active in 2026</t>
        </is>
      </c>
      <c r="H51" s="3" t="inlineStr">
        <is>
          <t>Beginner</t>
        </is>
      </c>
      <c r="I51" s="3" t="inlineStr">
        <is>
          <t>Yes</t>
        </is>
      </c>
      <c r="J51" s="3" t="inlineStr"/>
      <c r="K51" s="3" t="inlineStr"/>
      <c r="L51" s="3" t="inlineStr"/>
      <c r="M51" s="3" t="inlineStr"/>
      <c r="N51" s="3" t="inlineStr"/>
      <c r="O51" s="3" t="inlineStr"/>
      <c r="P51" s="3" t="inlineStr"/>
      <c r="Q51" s="3" t="inlineStr">
        <is>
          <t>Models trained to think in long chains before answering; accuracy scales with thinking tokens, a second scaling axis beyond model size.</t>
        </is>
      </c>
      <c r="R51" s="3" t="inlineStr">
        <is>
          <t>• Techniques: long chain-of-thought, self-verification, parallel sampling with voting.
• More thinking helps most on math, code and multi-step planning.</t>
        </is>
      </c>
      <c r="S51" s="3" t="inlineStr">
        <is>
          <t>In 2026 general and reasoning lines have merged: one model decides how much to think per request.</t>
        </is>
      </c>
      <c r="T51" s="3" t="n">
        <v>3</v>
      </c>
    </row>
    <row r="52">
      <c r="A52" s="3" t="n">
        <v>51</v>
      </c>
      <c r="B52" s="3" t="inlineStr">
        <is>
          <t>Thinking budgets, adaptive thinking and effort</t>
        </is>
      </c>
      <c r="C52" s="3" t="inlineStr"/>
      <c r="D52" s="3" t="inlineStr">
        <is>
          <t>06. Reasoning and Post-Training</t>
        </is>
      </c>
      <c r="E52" s="3" t="n">
        <v>2025</v>
      </c>
      <c r="F52" s="3" t="n">
        <v>2026</v>
      </c>
      <c r="G52" s="3" t="inlineStr">
        <is>
          <t>Active in 2026</t>
        </is>
      </c>
      <c r="H52" s="3" t="inlineStr">
        <is>
          <t>Intermediate</t>
        </is>
      </c>
      <c r="I52" s="3" t="inlineStr"/>
      <c r="J52" s="3" t="inlineStr">
        <is>
          <t>Yes</t>
        </is>
      </c>
      <c r="K52" s="3" t="inlineStr"/>
      <c r="L52" s="3" t="inlineStr"/>
      <c r="M52" s="3" t="inlineStr"/>
      <c r="N52" s="3" t="inlineStr"/>
      <c r="O52" s="3" t="inlineStr"/>
      <c r="P52" s="3" t="inlineStr">
        <is>
          <t>Yes</t>
        </is>
      </c>
      <c r="Q52" s="3" t="inlineStr">
        <is>
          <t>Controls that set how much a model thinks per request, trading latency and cost for quality. Interleaved thinking lets it reason between tool calls.</t>
        </is>
      </c>
      <c r="R52" s="3" t="inlineStr">
        <is>
          <t>• Low effort for chat and simple tool calls; high for hard debugging or proofs.
• Interleaved thinking helps agents adjust after each tool result.</t>
        </is>
      </c>
      <c r="S52" s="3" t="inlineStr">
        <is>
          <t>Adjustable reasoning effort inside a conversation became a standard API feature in 2026.</t>
        </is>
      </c>
      <c r="T52" s="3" t="n">
        <v>2</v>
      </c>
    </row>
    <row r="53">
      <c r="A53" s="3" t="n">
        <v>52</v>
      </c>
      <c r="B53" s="3" t="inlineStr">
        <is>
          <t>RL with verifiable rewards</t>
        </is>
      </c>
      <c r="C53" s="3" t="inlineStr">
        <is>
          <t>RLVR</t>
        </is>
      </c>
      <c r="D53" s="3" t="inlineStr">
        <is>
          <t>06. Reasoning and Post-Training</t>
        </is>
      </c>
      <c r="E53" s="3" t="n">
        <v>2024</v>
      </c>
      <c r="F53" s="3" t="n">
        <v>2026</v>
      </c>
      <c r="G53" s="3" t="inlineStr">
        <is>
          <t>Active in 2026</t>
        </is>
      </c>
      <c r="H53" s="3" t="inlineStr">
        <is>
          <t>Intermediate</t>
        </is>
      </c>
      <c r="I53" s="3" t="inlineStr">
        <is>
          <t>Yes</t>
        </is>
      </c>
      <c r="J53" s="3" t="inlineStr"/>
      <c r="K53" s="3" t="inlineStr"/>
      <c r="L53" s="3" t="inlineStr"/>
      <c r="M53" s="3" t="inlineStr"/>
      <c r="N53" s="3" t="inlineStr"/>
      <c r="O53" s="3" t="inlineStr"/>
      <c r="P53" s="3" t="inlineStr"/>
      <c r="Q53" s="3" t="inlineStr">
        <is>
          <t>Reinforcement learning where rewards come from checkers (tests, answer matching, verifiers) instead of a learned preference model.</t>
        </is>
      </c>
      <c r="R53" s="3" t="inlineStr">
        <is>
          <t>• Coined in the Tulu 3 work (2024), popularised by DeepSeek-R1.
• RL is now a large and growing share of frontier training compute.</t>
        </is>
      </c>
      <c r="S53" s="3" t="inlineStr"/>
      <c r="T53" s="3" t="n">
        <v>2</v>
      </c>
    </row>
    <row r="54">
      <c r="A54" s="3" t="n">
        <v>53</v>
      </c>
      <c r="B54" s="3" t="inlineStr">
        <is>
          <t>Multi-teacher on-policy distillation</t>
        </is>
      </c>
      <c r="C54" s="3" t="inlineStr">
        <is>
          <t>MOPD</t>
        </is>
      </c>
      <c r="D54" s="3" t="inlineStr">
        <is>
          <t>06. Reasoning and Post-Training</t>
        </is>
      </c>
      <c r="E54" s="3" t="n">
        <v>2026</v>
      </c>
      <c r="F54" s="3" t="n">
        <v>2026</v>
      </c>
      <c r="G54" s="3" t="inlineStr">
        <is>
          <t>New in 2026</t>
        </is>
      </c>
      <c r="H54" s="3" t="inlineStr">
        <is>
          <t>Advanced</t>
        </is>
      </c>
      <c r="I54" s="3" t="inlineStr"/>
      <c r="J54" s="3" t="inlineStr"/>
      <c r="K54" s="3" t="inlineStr">
        <is>
          <t>Yes</t>
        </is>
      </c>
      <c r="L54" s="3" t="inlineStr"/>
      <c r="M54" s="3" t="inlineStr"/>
      <c r="N54" s="3" t="inlineStr"/>
      <c r="O54" s="3" t="inlineStr"/>
      <c r="P54" s="3" t="inlineStr"/>
      <c r="Q54" s="3" t="inlineStr">
        <is>
          <t>The 2026 post-training pattern: train several domain specialists with SFT then RL, then train one general student on its own samples while minimising reverse-KL to the relevant teacher token by token.</t>
        </is>
      </c>
      <c r="R54" s="3" t="inlineStr">
        <is>
          <t>• Avoids capability trade-offs from mixing math, code and agentic RL in one run.
• Specialists can be built in parallel by different teams.
• Introduced with Xiaomi MiMo, scaled to 10+ teachers by DeepSeek V4 and Nemotron 3 Ultra.</t>
        </is>
      </c>
      <c r="S54" s="3" t="inlineStr">
        <is>
          <t>Now the default final stage in several frontier open recipes.</t>
        </is>
      </c>
      <c r="T54" s="3" t="n">
        <v>3</v>
      </c>
    </row>
    <row r="55">
      <c r="A55" s="3" t="n">
        <v>54</v>
      </c>
      <c r="B55" s="3" t="inlineStr">
        <is>
          <t>GRPO and its successors</t>
        </is>
      </c>
      <c r="C55" s="3" t="inlineStr">
        <is>
          <t>GRPO, DAPO, GSPO</t>
        </is>
      </c>
      <c r="D55" s="3" t="inlineStr">
        <is>
          <t>06. Reasoning and Post-Training</t>
        </is>
      </c>
      <c r="E55" s="3" t="n">
        <v>2024</v>
      </c>
      <c r="F55" s="3" t="n">
        <v>2025</v>
      </c>
      <c r="G55" s="3" t="inlineStr">
        <is>
          <t>Established</t>
        </is>
      </c>
      <c r="H55" s="3" t="inlineStr">
        <is>
          <t>Advanced</t>
        </is>
      </c>
      <c r="I55" s="3" t="inlineStr"/>
      <c r="J55" s="3" t="inlineStr"/>
      <c r="K55" s="3" t="inlineStr">
        <is>
          <t>Yes</t>
        </is>
      </c>
      <c r="L55" s="3" t="inlineStr"/>
      <c r="M55" s="3" t="inlineStr"/>
      <c r="N55" s="3" t="inlineStr"/>
      <c r="O55" s="3" t="inlineStr"/>
      <c r="P55" s="3" t="inlineStr"/>
      <c r="Q55" s="3" t="inlineStr">
        <is>
          <t>Group Relative Policy Optimization drops PPO's value network and scores samples against their group. Successors fix length bias, clipping and MoE instability.</t>
        </is>
      </c>
      <c r="R55" s="3" t="inlineStr">
        <is>
          <t>• Sample a group of answers per prompt; advantage = reward minus group mean.
• No critic network means less memory and simpler training.</t>
        </is>
      </c>
      <c r="S55" s="3" t="inlineStr"/>
      <c r="T55" s="3" t="n">
        <v>4</v>
      </c>
    </row>
    <row r="56">
      <c r="A56" s="3" t="n">
        <v>55</v>
      </c>
      <c r="B56" s="3" t="inlineStr">
        <is>
          <t>RL environments and verifiers</t>
        </is>
      </c>
      <c r="C56" s="3" t="inlineStr"/>
      <c r="D56" s="3" t="inlineStr">
        <is>
          <t>06. Reasoning and Post-Training</t>
        </is>
      </c>
      <c r="E56" s="3" t="n">
        <v>2025</v>
      </c>
      <c r="F56" s="3" t="n">
        <v>2026</v>
      </c>
      <c r="G56" s="3" t="inlineStr">
        <is>
          <t>Active in 2026</t>
        </is>
      </c>
      <c r="H56" s="3" t="inlineStr">
        <is>
          <t>Advanced</t>
        </is>
      </c>
      <c r="I56" s="3" t="inlineStr"/>
      <c r="J56" s="3" t="inlineStr"/>
      <c r="K56" s="3" t="inlineStr">
        <is>
          <t>Yes</t>
        </is>
      </c>
      <c r="L56" s="3" t="inlineStr"/>
      <c r="M56" s="3" t="inlineStr"/>
      <c r="N56" s="3" t="inlineStr">
        <is>
          <t>Yes</t>
        </is>
      </c>
      <c r="O56" s="3" t="inlineStr"/>
      <c r="P56" s="3" t="inlineStr"/>
      <c r="Q56" s="3" t="inlineStr">
        <is>
          <t>Packaged tasks plus graders used to train agents. In 2026 environments look like sandboxed replicas of enterprise software, and verifier quality is seen as the next ceiling on agent progress.</t>
        </is>
      </c>
      <c r="R56" s="3" t="inlineStr">
        <is>
          <t>• Labs spend heavily on environments; a market of environment vendors has formed.
• As agents improve, verifiers must improve faster to avoid reward hacking.</t>
        </is>
      </c>
      <c r="S56" s="3" t="inlineStr"/>
      <c r="T56" s="3" t="n">
        <v>5</v>
      </c>
    </row>
    <row r="57">
      <c r="A57" s="3" t="n">
        <v>56</v>
      </c>
      <c r="B57" s="3" t="inlineStr">
        <is>
          <t>RLHF, DPO and preference optimization</t>
        </is>
      </c>
      <c r="C57" s="3" t="inlineStr"/>
      <c r="D57" s="3" t="inlineStr">
        <is>
          <t>06. Reasoning and Post-Training</t>
        </is>
      </c>
      <c r="E57" s="3" t="n">
        <v>2022</v>
      </c>
      <c r="F57" s="3" t="n">
        <v>2025</v>
      </c>
      <c r="G57" s="3" t="inlineStr">
        <is>
          <t>Established</t>
        </is>
      </c>
      <c r="H57" s="3" t="inlineStr">
        <is>
          <t>Intermediate</t>
        </is>
      </c>
      <c r="I57" s="3" t="inlineStr">
        <is>
          <t>Yes</t>
        </is>
      </c>
      <c r="J57" s="3" t="inlineStr"/>
      <c r="K57" s="3" t="inlineStr"/>
      <c r="L57" s="3" t="inlineStr"/>
      <c r="M57" s="3" t="inlineStr"/>
      <c r="N57" s="3" t="inlineStr"/>
      <c r="O57" s="3" t="inlineStr"/>
      <c r="P57" s="3" t="inlineStr"/>
      <c r="Q57" s="3" t="inlineStr">
        <is>
          <t>Aligning outputs to human preferences with a reward model plus RL, or directly from preference pairs (DPO).</t>
        </is>
      </c>
      <c r="R57" s="3" t="inlineStr">
        <is>
          <t>• RLHF: SFT, then reward model, then PPO.
• DPO optimises the same objective in closed form from preference pairs.</t>
        </is>
      </c>
      <c r="S57" s="3" t="inlineStr"/>
      <c r="T57" s="3" t="n">
        <v>3</v>
      </c>
    </row>
    <row r="58">
      <c r="A58" s="3" t="n">
        <v>57</v>
      </c>
      <c r="B58" s="3" t="inlineStr">
        <is>
          <t>Constitutional AI and model specs</t>
        </is>
      </c>
      <c r="C58" s="3" t="inlineStr"/>
      <c r="D58" s="3" t="inlineStr">
        <is>
          <t>06. Reasoning and Post-Training</t>
        </is>
      </c>
      <c r="E58" s="3" t="n">
        <v>2022</v>
      </c>
      <c r="F58" s="3" t="n">
        <v>2026</v>
      </c>
      <c r="G58" s="3" t="inlineStr">
        <is>
          <t>Active in 2026</t>
        </is>
      </c>
      <c r="H58" s="3" t="inlineStr">
        <is>
          <t>Intermediate</t>
        </is>
      </c>
      <c r="I58" s="3" t="inlineStr"/>
      <c r="J58" s="3" t="inlineStr"/>
      <c r="K58" s="3" t="inlineStr"/>
      <c r="L58" s="3" t="inlineStr"/>
      <c r="M58" s="3" t="inlineStr"/>
      <c r="N58" s="3" t="inlineStr"/>
      <c r="O58" s="3" t="inlineStr"/>
      <c r="P58" s="3" t="inlineStr"/>
      <c r="Q58" s="3" t="inlineStr">
        <is>
          <t>Training behaviour from a written set of principles with AI feedback. Labs now publish the documents that define model character and priorities.</t>
        </is>
      </c>
      <c r="R58" s="3" t="inlineStr">
        <is>
          <t>• The model critiques and revises its own outputs against principles.
• Published specs make intended behaviour inspectable.</t>
        </is>
      </c>
      <c r="S58" s="3" t="inlineStr"/>
      <c r="T58" s="3" t="n">
        <v>2</v>
      </c>
    </row>
    <row r="59">
      <c r="A59" s="3" t="n">
        <v>58</v>
      </c>
      <c r="B59" s="3" t="inlineStr">
        <is>
          <t>Process reward models</t>
        </is>
      </c>
      <c r="C59" s="3" t="inlineStr">
        <is>
          <t>PRM</t>
        </is>
      </c>
      <c r="D59" s="3" t="inlineStr">
        <is>
          <t>06. Reasoning and Post-Training</t>
        </is>
      </c>
      <c r="E59" s="3" t="n">
        <v>2023</v>
      </c>
      <c r="F59" s="3" t="n">
        <v>2025</v>
      </c>
      <c r="G59" s="3" t="inlineStr">
        <is>
          <t>Established</t>
        </is>
      </c>
      <c r="H59" s="3" t="inlineStr">
        <is>
          <t>Advanced</t>
        </is>
      </c>
      <c r="I59" s="3" t="inlineStr"/>
      <c r="J59" s="3" t="inlineStr"/>
      <c r="K59" s="3" t="inlineStr">
        <is>
          <t>Yes</t>
        </is>
      </c>
      <c r="L59" s="3" t="inlineStr"/>
      <c r="M59" s="3" t="inlineStr"/>
      <c r="N59" s="3" t="inlineStr"/>
      <c r="O59" s="3" t="inlineStr"/>
      <c r="P59" s="3" t="inlineStr"/>
      <c r="Q59" s="3" t="inlineStr">
        <is>
          <t>Reward models that grade each reasoning step rather than only the final answer.</t>
        </is>
      </c>
      <c r="R59" s="3" t="inlineStr">
        <is>
          <t>• Enable step-level search (beam search over reasoning steps).
• Expensive to label; often trained with automated step checks.</t>
        </is>
      </c>
      <c r="S59" s="3" t="inlineStr"/>
      <c r="T59" s="3" t="n">
        <v>1</v>
      </c>
    </row>
    <row r="60">
      <c r="A60" s="3" t="n">
        <v>59</v>
      </c>
      <c r="B60" s="3" t="inlineStr">
        <is>
          <t>Reward hacking</t>
        </is>
      </c>
      <c r="C60" s="3" t="inlineStr"/>
      <c r="D60" s="3" t="inlineStr">
        <is>
          <t>06. Reasoning and Post-Training</t>
        </is>
      </c>
      <c r="E60" s="3" t="n">
        <v>2016</v>
      </c>
      <c r="F60" s="3" t="n">
        <v>2026</v>
      </c>
      <c r="G60" s="3" t="inlineStr">
        <is>
          <t>Active in 2026</t>
        </is>
      </c>
      <c r="H60" s="3" t="inlineStr">
        <is>
          <t>Intermediate</t>
        </is>
      </c>
      <c r="I60" s="3" t="inlineStr"/>
      <c r="J60" s="3" t="inlineStr"/>
      <c r="K60" s="3" t="inlineStr">
        <is>
          <t>Yes</t>
        </is>
      </c>
      <c r="L60" s="3" t="inlineStr"/>
      <c r="M60" s="3" t="inlineStr"/>
      <c r="N60" s="3" t="inlineStr"/>
      <c r="O60" s="3" t="inlineStr">
        <is>
          <t>Yes</t>
        </is>
      </c>
      <c r="P60" s="3" t="inlineStr"/>
      <c r="Q60" s="3" t="inlineStr">
        <is>
          <t>The policy exploits flaws in the reward (special-casing tests, editing graders) instead of solving the task; learned hacking can generalise to broader misbehaviour.</t>
        </is>
      </c>
      <c r="R60" s="3" t="inlineStr">
        <is>
          <t>• Watch for tests being deleted, asserts weakened or outputs hard-coded.
• Defenses: held-out verifiers, monitoring, diverse environments.</t>
        </is>
      </c>
      <c r="S60" s="3" t="inlineStr"/>
      <c r="T60" s="3" t="n">
        <v>2</v>
      </c>
    </row>
    <row r="61">
      <c r="A61" s="3" t="n">
        <v>60</v>
      </c>
      <c r="B61" s="3" t="inlineStr">
        <is>
          <t>Self-play and self-generated curricula</t>
        </is>
      </c>
      <c r="C61" s="3" t="inlineStr"/>
      <c r="D61" s="3" t="inlineStr">
        <is>
          <t>06. Reasoning and Post-Training</t>
        </is>
      </c>
      <c r="E61" s="3" t="n">
        <v>2025</v>
      </c>
      <c r="F61" s="3" t="n">
        <v>2025</v>
      </c>
      <c r="G61" s="3" t="inlineStr">
        <is>
          <t>Established</t>
        </is>
      </c>
      <c r="H61" s="3" t="inlineStr">
        <is>
          <t>Advanced</t>
        </is>
      </c>
      <c r="I61" s="3" t="inlineStr"/>
      <c r="J61" s="3" t="inlineStr"/>
      <c r="K61" s="3" t="inlineStr">
        <is>
          <t>Yes</t>
        </is>
      </c>
      <c r="L61" s="3" t="inlineStr"/>
      <c r="M61" s="3" t="inlineStr"/>
      <c r="N61" s="3" t="inlineStr"/>
      <c r="O61" s="3" t="inlineStr"/>
      <c r="P61" s="3" t="inlineStr"/>
      <c r="Q61" s="3" t="inlineStr">
        <is>
          <t>Models propose tasks, solve them and learn from verified results.</t>
        </is>
      </c>
      <c r="R61" s="3" t="inlineStr">
        <is>
          <t>• A proposer creates tasks near the solver's frontier.
• Verification (code execution, math checkers) keeps it grounded.</t>
        </is>
      </c>
      <c r="S61" s="3" t="inlineStr"/>
      <c r="T61" s="3" t="n">
        <v>1</v>
      </c>
    </row>
    <row r="62">
      <c r="A62" s="3" t="n">
        <v>61</v>
      </c>
      <c r="B62" s="3" t="inlineStr">
        <is>
          <t>Continual learning</t>
        </is>
      </c>
      <c r="C62" s="3" t="inlineStr"/>
      <c r="D62" s="3" t="inlineStr">
        <is>
          <t>06. Reasoning and Post-Training</t>
        </is>
      </c>
      <c r="E62" s="3" t="n">
        <v>2024</v>
      </c>
      <c r="F62" s="3" t="n">
        <v>2026</v>
      </c>
      <c r="G62" s="3" t="inlineStr">
        <is>
          <t>Active in 2026</t>
        </is>
      </c>
      <c r="H62" s="3" t="inlineStr">
        <is>
          <t>Advanced</t>
        </is>
      </c>
      <c r="I62" s="3" t="inlineStr"/>
      <c r="J62" s="3" t="inlineStr"/>
      <c r="K62" s="3" t="inlineStr">
        <is>
          <t>Yes</t>
        </is>
      </c>
      <c r="L62" s="3" t="inlineStr"/>
      <c r="M62" s="3" t="inlineStr"/>
      <c r="N62" s="3" t="inlineStr"/>
      <c r="O62" s="3" t="inlineStr"/>
      <c r="P62" s="3" t="inlineStr"/>
      <c r="Q62" s="3" t="inlineStr">
        <is>
          <t>Updating a deployed model with new knowledge and skills without catastrophic forgetting.</t>
        </is>
      </c>
      <c r="R62" s="3" t="inlineStr">
        <is>
          <t>• Approaches: replay, regularisation, architectural expansion, self-distillation, nested optimisation.
• Widely named as a key 2026 frontier for agents that improve on the job.</t>
        </is>
      </c>
      <c r="S62" s="3" t="inlineStr"/>
      <c r="T62" s="3" t="n">
        <v>2</v>
      </c>
    </row>
    <row r="63">
      <c r="A63" s="3" t="n">
        <v>62</v>
      </c>
      <c r="B63" s="3" t="inlineStr">
        <is>
          <t>Mixture of Experts</t>
        </is>
      </c>
      <c r="C63" s="3" t="inlineStr">
        <is>
          <t>MoE</t>
        </is>
      </c>
      <c r="D63" s="3" t="inlineStr">
        <is>
          <t>07. Model Architectures</t>
        </is>
      </c>
      <c r="E63" s="3" t="n">
        <v>2017</v>
      </c>
      <c r="F63" s="3" t="n">
        <v>2026</v>
      </c>
      <c r="G63" s="3" t="inlineStr">
        <is>
          <t>Active in 2026</t>
        </is>
      </c>
      <c r="H63" s="3" t="inlineStr">
        <is>
          <t>Beginner</t>
        </is>
      </c>
      <c r="I63" s="3" t="inlineStr">
        <is>
          <t>Yes</t>
        </is>
      </c>
      <c r="J63" s="3" t="inlineStr"/>
      <c r="K63" s="3" t="inlineStr"/>
      <c r="L63" s="3" t="inlineStr"/>
      <c r="M63" s="3" t="inlineStr"/>
      <c r="N63" s="3" t="inlineStr"/>
      <c r="O63" s="3" t="inlineStr"/>
      <c r="P63" s="3" t="inlineStr">
        <is>
          <t>Yes</t>
        </is>
      </c>
      <c r="Q63" s="3" t="inlineStr">
        <is>
          <t>Tokens route to a few expert feed-forward blocks out of many, so total parameters grow while compute per token stays small.</t>
        </is>
      </c>
      <c r="R63" s="3" t="inlineStr">
        <is>
          <t>• Fine-grained experts plus a shared expert is the common 2026 layout.
• Expert parallelism needs fast all-to-all communication.</t>
        </is>
      </c>
      <c r="S63" s="3" t="inlineStr">
        <is>
          <t>Frontier open models reach 1.6T to 2.8T total parameters with roughly 3% active per token.</t>
        </is>
      </c>
      <c r="T63" s="3" t="n">
        <v>3</v>
      </c>
    </row>
    <row r="64">
      <c r="A64" s="3" t="n">
        <v>63</v>
      </c>
      <c r="B64" s="3" t="inlineStr">
        <is>
          <t>GQA and Multi-head Latent Attention</t>
        </is>
      </c>
      <c r="C64" s="3" t="inlineStr">
        <is>
          <t>GQA, MLA</t>
        </is>
      </c>
      <c r="D64" s="3" t="inlineStr">
        <is>
          <t>07. Model Architectures</t>
        </is>
      </c>
      <c r="E64" s="3" t="n">
        <v>2023</v>
      </c>
      <c r="F64" s="3" t="n">
        <v>2025</v>
      </c>
      <c r="G64" s="3" t="inlineStr">
        <is>
          <t>Established</t>
        </is>
      </c>
      <c r="H64" s="3" t="inlineStr">
        <is>
          <t>Intermediate</t>
        </is>
      </c>
      <c r="I64" s="3" t="inlineStr"/>
      <c r="J64" s="3" t="inlineStr"/>
      <c r="K64" s="3" t="inlineStr"/>
      <c r="L64" s="3" t="inlineStr"/>
      <c r="M64" s="3" t="inlineStr"/>
      <c r="N64" s="3" t="inlineStr"/>
      <c r="O64" s="3" t="inlineStr"/>
      <c r="P64" s="3" t="inlineStr">
        <is>
          <t>Yes</t>
        </is>
      </c>
      <c r="Q64" s="3" t="inlineStr">
        <is>
          <t>Two ways to shrink the KV cache: share keys/values across head groups (GQA) or compress them into a low-rank latent (MLA).</t>
        </is>
      </c>
      <c r="R64" s="3" t="inlineStr">
        <is>
          <t>• GQA: fewer KV heads than query heads.
• MLA: store a small latent, up-project at attention time; decoupled RoPE dims.</t>
        </is>
      </c>
      <c r="S64" s="3" t="inlineStr"/>
      <c r="T64" s="3" t="n">
        <v>2</v>
      </c>
    </row>
    <row r="65">
      <c r="A65" s="3" t="n">
        <v>64</v>
      </c>
      <c r="B65" s="3" t="inlineStr">
        <is>
          <t>Sparse and compressed attention</t>
        </is>
      </c>
      <c r="C65" s="3" t="inlineStr">
        <is>
          <t>NSA, DSA, CSA, HCA</t>
        </is>
      </c>
      <c r="D65" s="3" t="inlineStr">
        <is>
          <t>07. Model Architectures</t>
        </is>
      </c>
      <c r="E65" s="3" t="n">
        <v>2025</v>
      </c>
      <c r="F65" s="3" t="n">
        <v>2026</v>
      </c>
      <c r="G65" s="3" t="inlineStr">
        <is>
          <t>Active in 2026</t>
        </is>
      </c>
      <c r="H65" s="3" t="inlineStr">
        <is>
          <t>Advanced</t>
        </is>
      </c>
      <c r="I65" s="3" t="inlineStr"/>
      <c r="J65" s="3" t="inlineStr"/>
      <c r="K65" s="3" t="inlineStr">
        <is>
          <t>Yes</t>
        </is>
      </c>
      <c r="L65" s="3" t="inlineStr"/>
      <c r="M65" s="3" t="inlineStr"/>
      <c r="N65" s="3" t="inlineStr"/>
      <c r="O65" s="3" t="inlineStr"/>
      <c r="P65" s="3" t="inlineStr">
        <is>
          <t>Yes</t>
        </is>
      </c>
      <c r="Q65" s="3" t="inlineStr">
        <is>
          <t>Attend only to selected tokens or compressed summaries of blocks to make long context cheap.</t>
        </is>
      </c>
      <c r="R65" s="3" t="inlineStr">
        <is>
          <t>• DeepSeek V4 interleaves Compressed Sparse Attention (compress KV along the sequence, then top-k select) with Heavily Compressed Attention.
• Reported KV-cache reductions near 98% versus standard GQA make 1M-token inference affordable.</t>
        </is>
      </c>
      <c r="S65" s="3" t="inlineStr">
        <is>
          <t>DeepSeek V4's CSA/HCA hybrid replaced MLA and is the most detailed public long-context design in 2026.</t>
        </is>
      </c>
      <c r="T65" s="3" t="n">
        <v>3</v>
      </c>
    </row>
    <row r="66">
      <c r="A66" s="3" t="n">
        <v>65</v>
      </c>
      <c r="B66" s="3" t="inlineStr">
        <is>
          <t>Manifold-constrained hyper-connections</t>
        </is>
      </c>
      <c r="C66" s="3" t="inlineStr">
        <is>
          <t>mHC</t>
        </is>
      </c>
      <c r="D66" s="3" t="inlineStr">
        <is>
          <t>07. Model Architectures</t>
        </is>
      </c>
      <c r="E66" s="3" t="n">
        <v>2026</v>
      </c>
      <c r="F66" s="3" t="n">
        <v>2026</v>
      </c>
      <c r="G66" s="3" t="inlineStr">
        <is>
          <t>New in 2026</t>
        </is>
      </c>
      <c r="H66" s="3" t="inlineStr">
        <is>
          <t>Advanced</t>
        </is>
      </c>
      <c r="I66" s="3" t="inlineStr"/>
      <c r="J66" s="3" t="inlineStr"/>
      <c r="K66" s="3" t="inlineStr">
        <is>
          <t>Yes</t>
        </is>
      </c>
      <c r="L66" s="3" t="inlineStr"/>
      <c r="M66" s="3" t="inlineStr"/>
      <c r="N66" s="3" t="inlineStr"/>
      <c r="O66" s="3" t="inlineStr"/>
      <c r="P66" s="3" t="inlineStr"/>
      <c r="Q66" s="3" t="inlineStr">
        <is>
          <t>Replaces plain residual connections with learned mixtures over several parallel residual streams, projected onto a constrained manifold to keep signals stable in very deep, very large models.</t>
        </is>
      </c>
      <c r="R66" s="3" t="inlineStr">
        <is>
          <t>• Used in DeepSeek V4 to stabilise training at trillion-parameter scale.</t>
        </is>
      </c>
      <c r="S66" s="3" t="inlineStr"/>
      <c r="T66" s="3" t="n">
        <v>1</v>
      </c>
    </row>
    <row r="67">
      <c r="A67" s="3" t="n">
        <v>66</v>
      </c>
      <c r="B67" s="3" t="inlineStr">
        <is>
          <t>Hybrid linear-attention and state space models</t>
        </is>
      </c>
      <c r="C67" s="3" t="inlineStr">
        <is>
          <t>Mamba, Gated DeltaNet</t>
        </is>
      </c>
      <c r="D67" s="3" t="inlineStr">
        <is>
          <t>07. Model Architectures</t>
        </is>
      </c>
      <c r="E67" s="3" t="n">
        <v>2023</v>
      </c>
      <c r="F67" s="3" t="n">
        <v>2026</v>
      </c>
      <c r="G67" s="3" t="inlineStr">
        <is>
          <t>Active in 2026</t>
        </is>
      </c>
      <c r="H67" s="3" t="inlineStr">
        <is>
          <t>Advanced</t>
        </is>
      </c>
      <c r="I67" s="3" t="inlineStr"/>
      <c r="J67" s="3" t="inlineStr"/>
      <c r="K67" s="3" t="inlineStr">
        <is>
          <t>Yes</t>
        </is>
      </c>
      <c r="L67" s="3" t="inlineStr"/>
      <c r="M67" s="3" t="inlineStr"/>
      <c r="N67" s="3" t="inlineStr"/>
      <c r="O67" s="3" t="inlineStr"/>
      <c r="P67" s="3" t="inlineStr">
        <is>
          <t>Yes</t>
        </is>
      </c>
      <c r="Q67" s="3" t="inlineStr">
        <is>
          <t>Mix a few full-attention layers with many linear-time layers for long context at lower cost.</t>
        </is>
      </c>
      <c r="R67" s="3" t="inlineStr">
        <is>
          <t>• Linear layers keep a fixed-size state instead of a growing KV cache.
• A few full-attention layers preserve precise recall.</t>
        </is>
      </c>
      <c r="S67" s="3" t="inlineStr">
        <is>
          <t>A leading 2026 trend: Qwen 3.x, Nemotron 3, Kimi Linear and others ship hybrids.</t>
        </is>
      </c>
      <c r="T67" s="3" t="n">
        <v>4</v>
      </c>
    </row>
    <row r="68">
      <c r="A68" s="3" t="n">
        <v>67</v>
      </c>
      <c r="B68" s="3" t="inlineStr">
        <is>
          <t>Diffusion language models</t>
        </is>
      </c>
      <c r="C68" s="3" t="inlineStr">
        <is>
          <t>dLLM</t>
        </is>
      </c>
      <c r="D68" s="3" t="inlineStr">
        <is>
          <t>07. Model Architectures</t>
        </is>
      </c>
      <c r="E68" s="3" t="n">
        <v>2025</v>
      </c>
      <c r="F68" s="3" t="n">
        <v>2026</v>
      </c>
      <c r="G68" s="3" t="inlineStr">
        <is>
          <t>Active in 2026</t>
        </is>
      </c>
      <c r="H68" s="3" t="inlineStr">
        <is>
          <t>Advanced</t>
        </is>
      </c>
      <c r="I68" s="3" t="inlineStr"/>
      <c r="J68" s="3" t="inlineStr"/>
      <c r="K68" s="3" t="inlineStr">
        <is>
          <t>Yes</t>
        </is>
      </c>
      <c r="L68" s="3" t="inlineStr"/>
      <c r="M68" s="3" t="inlineStr"/>
      <c r="N68" s="3" t="inlineStr"/>
      <c r="O68" s="3" t="inlineStr"/>
      <c r="P68" s="3" t="inlineStr">
        <is>
          <t>Yes</t>
        </is>
      </c>
      <c r="Q68" s="3" t="inlineStr">
        <is>
          <t>Generate text by iteratively denoising blocks in parallel rather than left to right, for much faster decoding.</t>
        </is>
      </c>
      <c r="R68" s="3" t="inlineStr">
        <is>
          <t>• Start from masked or noisy tokens and refine in parallel steps.
• Trade-offs: quality on long reasoning, variable-length output.</t>
        </is>
      </c>
      <c r="S68" s="3" t="inlineStr">
        <is>
          <t>Commercial diffusion LLMs now offer very low-cost, high-speed endpoints.</t>
        </is>
      </c>
      <c r="T68" s="3" t="n">
        <v>3</v>
      </c>
    </row>
    <row r="69">
      <c r="A69" s="3" t="n">
        <v>68</v>
      </c>
      <c r="B69" s="3" t="inlineStr">
        <is>
          <t>Multi-token prediction and speculative decoding</t>
        </is>
      </c>
      <c r="C69" s="3" t="inlineStr">
        <is>
          <t>MTP</t>
        </is>
      </c>
      <c r="D69" s="3" t="inlineStr">
        <is>
          <t>07. Model Architectures</t>
        </is>
      </c>
      <c r="E69" s="3" t="n">
        <v>2023</v>
      </c>
      <c r="F69" s="3" t="n">
        <v>2026</v>
      </c>
      <c r="G69" s="3" t="inlineStr">
        <is>
          <t>Active in 2026</t>
        </is>
      </c>
      <c r="H69" s="3" t="inlineStr">
        <is>
          <t>Intermediate</t>
        </is>
      </c>
      <c r="I69" s="3" t="inlineStr"/>
      <c r="J69" s="3" t="inlineStr"/>
      <c r="K69" s="3" t="inlineStr"/>
      <c r="L69" s="3" t="inlineStr"/>
      <c r="M69" s="3" t="inlineStr"/>
      <c r="N69" s="3" t="inlineStr"/>
      <c r="O69" s="3" t="inlineStr"/>
      <c r="P69" s="3" t="inlineStr">
        <is>
          <t>Yes</t>
        </is>
      </c>
      <c r="Q69" s="3" t="inlineStr">
        <is>
          <t>Predict several tokens at once, or let a cheap draft propose tokens that the big model verifies in one pass.</t>
        </is>
      </c>
      <c r="R69" s="3" t="inlineStr">
        <is>
          <t>• Draft models, extra prediction heads (MTP, Medusa, EAGLE) or n-gram lookup.
• Output distribution is unchanged when verification is exact.</t>
        </is>
      </c>
      <c r="S69" s="3" t="inlineStr"/>
      <c r="T69" s="3" t="n">
        <v>3</v>
      </c>
    </row>
    <row r="70">
      <c r="A70" s="3" t="n">
        <v>69</v>
      </c>
      <c r="B70" s="3" t="inlineStr">
        <is>
          <t>Long-context methods</t>
        </is>
      </c>
      <c r="C70" s="3" t="inlineStr">
        <is>
          <t>RoPE, YaRN</t>
        </is>
      </c>
      <c r="D70" s="3" t="inlineStr">
        <is>
          <t>07. Model Architectures</t>
        </is>
      </c>
      <c r="E70" s="3" t="n">
        <v>2021</v>
      </c>
      <c r="F70" s="3" t="n">
        <v>2026</v>
      </c>
      <c r="G70" s="3" t="inlineStr">
        <is>
          <t>Active in 2026</t>
        </is>
      </c>
      <c r="H70" s="3" t="inlineStr">
        <is>
          <t>Intermediate</t>
        </is>
      </c>
      <c r="I70" s="3" t="inlineStr"/>
      <c r="J70" s="3" t="inlineStr"/>
      <c r="K70" s="3" t="inlineStr"/>
      <c r="L70" s="3" t="inlineStr"/>
      <c r="M70" s="3" t="inlineStr"/>
      <c r="N70" s="3" t="inlineStr"/>
      <c r="O70" s="3" t="inlineStr"/>
      <c r="P70" s="3" t="inlineStr"/>
      <c r="Q70" s="3" t="inlineStr">
        <is>
          <t>Rotary embeddings and scaling tricks that extend context windows; combined with sparse attention and KV compression to reach 1M tokens.</t>
        </is>
      </c>
      <c r="R70" s="3" t="inlineStr">
        <is>
          <t>• Train short, extend with RoPE scaling plus long-context fine-tuning.
• Needle tests are easy; multi-hop reasoning over long input is hard.</t>
        </is>
      </c>
      <c r="S70" s="3" t="inlineStr">
        <is>
          <t>1M-token context is the default for 2026 frontier models.</t>
        </is>
      </c>
      <c r="T70" s="3" t="n">
        <v>2</v>
      </c>
    </row>
    <row r="71">
      <c r="A71" s="3" t="n">
        <v>70</v>
      </c>
      <c r="B71" s="3" t="inlineStr">
        <is>
          <t>Attention sinks</t>
        </is>
      </c>
      <c r="C71" s="3" t="inlineStr"/>
      <c r="D71" s="3" t="inlineStr">
        <is>
          <t>07. Model Architectures</t>
        </is>
      </c>
      <c r="E71" s="3" t="n">
        <v>2023</v>
      </c>
      <c r="F71" s="3" t="n">
        <v>2025</v>
      </c>
      <c r="G71" s="3" t="inlineStr">
        <is>
          <t>Established</t>
        </is>
      </c>
      <c r="H71" s="3" t="inlineStr">
        <is>
          <t>Advanced</t>
        </is>
      </c>
      <c r="I71" s="3" t="inlineStr"/>
      <c r="J71" s="3" t="inlineStr"/>
      <c r="K71" s="3" t="inlineStr">
        <is>
          <t>Yes</t>
        </is>
      </c>
      <c r="L71" s="3" t="inlineStr"/>
      <c r="M71" s="3" t="inlineStr"/>
      <c r="N71" s="3" t="inlineStr"/>
      <c r="O71" s="3" t="inlineStr"/>
      <c r="P71" s="3" t="inlineStr"/>
      <c r="Q71" s="3" t="inlineStr">
        <is>
          <t>Models park attention on the first tokens; keeping them (or learned sink logits) stabilises long generation.</t>
        </is>
      </c>
      <c r="R71" s="3" t="inlineStr">
        <is>
          <t>• Keep the first few tokens when using sliding-window caches.
• Some models add explicit sink parameters per head.</t>
        </is>
      </c>
      <c r="S71" s="3" t="inlineStr"/>
      <c r="T71" s="3" t="n">
        <v>1</v>
      </c>
    </row>
    <row r="72">
      <c r="A72" s="3" t="n">
        <v>71</v>
      </c>
      <c r="B72" s="3" t="inlineStr">
        <is>
          <t>Tokenizer-free and byte-level models</t>
        </is>
      </c>
      <c r="C72" s="3" t="inlineStr">
        <is>
          <t>BLT</t>
        </is>
      </c>
      <c r="D72" s="3" t="inlineStr">
        <is>
          <t>07. Model Architectures</t>
        </is>
      </c>
      <c r="E72" s="3" t="n">
        <v>2024</v>
      </c>
      <c r="F72" s="3" t="n">
        <v>2025</v>
      </c>
      <c r="G72" s="3" t="inlineStr">
        <is>
          <t>Established</t>
        </is>
      </c>
      <c r="H72" s="3" t="inlineStr">
        <is>
          <t>Advanced</t>
        </is>
      </c>
      <c r="I72" s="3" t="inlineStr"/>
      <c r="J72" s="3" t="inlineStr"/>
      <c r="K72" s="3" t="inlineStr">
        <is>
          <t>Yes</t>
        </is>
      </c>
      <c r="L72" s="3" t="inlineStr"/>
      <c r="M72" s="3" t="inlineStr"/>
      <c r="N72" s="3" t="inlineStr"/>
      <c r="O72" s="3" t="inlineStr"/>
      <c r="P72" s="3" t="inlineStr"/>
      <c r="Q72" s="3" t="inlineStr">
        <is>
          <t>Operate on bytes grouped into dynamic patches instead of a fixed vocabulary.</t>
        </is>
      </c>
      <c r="R72" s="3" t="inlineStr">
        <is>
          <t>• Patch boundaries adapt to entropy, spending compute on hard bytes.
• Improves robustness on typos, code and rare scripts.</t>
        </is>
      </c>
      <c r="S72" s="3" t="inlineStr"/>
      <c r="T72" s="3" t="n">
        <v>1</v>
      </c>
    </row>
    <row r="73">
      <c r="A73" s="3" t="n">
        <v>72</v>
      </c>
      <c r="B73" s="3" t="inlineStr">
        <is>
          <t>Tiny recursive reasoning models</t>
        </is>
      </c>
      <c r="C73" s="3" t="inlineStr">
        <is>
          <t>HRM, TRM</t>
        </is>
      </c>
      <c r="D73" s="3" t="inlineStr">
        <is>
          <t>07. Model Architectures</t>
        </is>
      </c>
      <c r="E73" s="3" t="n">
        <v>2025</v>
      </c>
      <c r="F73" s="3" t="n">
        <v>2025</v>
      </c>
      <c r="G73" s="3" t="inlineStr">
        <is>
          <t>Established</t>
        </is>
      </c>
      <c r="H73" s="3" t="inlineStr">
        <is>
          <t>Advanced</t>
        </is>
      </c>
      <c r="I73" s="3" t="inlineStr"/>
      <c r="J73" s="3" t="inlineStr"/>
      <c r="K73" s="3" t="inlineStr">
        <is>
          <t>Yes</t>
        </is>
      </c>
      <c r="L73" s="3" t="inlineStr"/>
      <c r="M73" s="3" t="inlineStr"/>
      <c r="N73" s="3" t="inlineStr"/>
      <c r="O73" s="3" t="inlineStr"/>
      <c r="P73" s="3" t="inlineStr"/>
      <c r="Q73" s="3" t="inlineStr">
        <is>
          <t>Very small networks that loop over latent state, scoring well on puzzles like ARC-AGI with a few million parameters.</t>
        </is>
      </c>
      <c r="R73" s="3" t="inlineStr">
        <is>
          <t>• Iterate a small network many times on its own latent answer.
• Shows depth-through-recursion can substitute for parameters on some tasks.</t>
        </is>
      </c>
      <c r="S73" s="3" t="inlineStr"/>
      <c r="T73" s="3" t="n">
        <v>2</v>
      </c>
    </row>
    <row r="74">
      <c r="A74" s="3" t="n">
        <v>73</v>
      </c>
      <c r="B74" s="3" t="inlineStr">
        <is>
          <t>Small language models</t>
        </is>
      </c>
      <c r="C74" s="3" t="inlineStr">
        <is>
          <t>SLM</t>
        </is>
      </c>
      <c r="D74" s="3" t="inlineStr">
        <is>
          <t>07. Model Architectures</t>
        </is>
      </c>
      <c r="E74" s="3" t="n">
        <v>2024</v>
      </c>
      <c r="F74" s="3" t="n">
        <v>2026</v>
      </c>
      <c r="G74" s="3" t="inlineStr">
        <is>
          <t>Active in 2026</t>
        </is>
      </c>
      <c r="H74" s="3" t="inlineStr">
        <is>
          <t>Beginner</t>
        </is>
      </c>
      <c r="I74" s="3" t="inlineStr"/>
      <c r="J74" s="3" t="inlineStr"/>
      <c r="K74" s="3" t="inlineStr"/>
      <c r="L74" s="3" t="inlineStr">
        <is>
          <t>Yes</t>
        </is>
      </c>
      <c r="M74" s="3" t="inlineStr"/>
      <c r="N74" s="3" t="inlineStr"/>
      <c r="O74" s="3" t="inlineStr"/>
      <c r="P74" s="3" t="inlineStr">
        <is>
          <t>Yes</t>
        </is>
      </c>
      <c r="Q74" s="3" t="inlineStr">
        <is>
          <t>Compact models (about 0.5B to 30B) for on-device use, low latency and cheap agent subtasks.</t>
        </is>
      </c>
      <c r="R74" s="3" t="inlineStr">
        <is>
          <t>• Often distilled from large teachers.
• Good fits: routing, extraction, classification, on-device assistants.</t>
        </is>
      </c>
      <c r="S74" s="3" t="inlineStr">
        <is>
          <t>2026 mid-size open models (around 27B) deliver frontier-like coding on a single consumer GPU.</t>
        </is>
      </c>
      <c r="T74" s="3" t="n">
        <v>2</v>
      </c>
    </row>
    <row r="75">
      <c r="A75" s="3" t="n">
        <v>74</v>
      </c>
      <c r="B75" s="3" t="inlineStr">
        <is>
          <t>Architecture overviews</t>
        </is>
      </c>
      <c r="C75" s="3" t="inlineStr"/>
      <c r="D75" s="3" t="inlineStr">
        <is>
          <t>07. Model Architectures</t>
        </is>
      </c>
      <c r="E75" s="3" t="n">
        <v>2025</v>
      </c>
      <c r="F75" s="3" t="n">
        <v>2026</v>
      </c>
      <c r="G75" s="3" t="inlineStr">
        <is>
          <t>Active in 2026</t>
        </is>
      </c>
      <c r="H75" s="3" t="inlineStr">
        <is>
          <t>Beginner</t>
        </is>
      </c>
      <c r="I75" s="3" t="inlineStr"/>
      <c r="J75" s="3" t="inlineStr"/>
      <c r="K75" s="3" t="inlineStr"/>
      <c r="L75" s="3" t="inlineStr"/>
      <c r="M75" s="3" t="inlineStr"/>
      <c r="N75" s="3" t="inlineStr"/>
      <c r="O75" s="3" t="inlineStr"/>
      <c r="P75" s="3" t="inlineStr"/>
      <c r="Q75" s="3" t="inlineStr">
        <is>
          <t>Side-by-side walkthroughs of how current open models differ.</t>
        </is>
      </c>
      <c r="R75" s="3" t="inlineStr">
        <is>
          <t>• Compare norms, attention type, expert counts, positional schemes.
• Read tech reports for data and training details that diagrams omit.</t>
        </is>
      </c>
      <c r="S75" s="3" t="inlineStr"/>
      <c r="T75" s="3" t="n">
        <v>2</v>
      </c>
    </row>
    <row r="76">
      <c r="A76" s="3" t="n">
        <v>75</v>
      </c>
      <c r="B76" s="3" t="inlineStr">
        <is>
          <t>Parallelism strategies</t>
        </is>
      </c>
      <c r="C76" s="3" t="inlineStr">
        <is>
          <t>DP, FSDP, TP, PP, EP, CP</t>
        </is>
      </c>
      <c r="D76" s="3" t="inlineStr">
        <is>
          <t>08. Training at Scale and Fine-Tuning</t>
        </is>
      </c>
      <c r="E76" s="3" t="n">
        <v>2019</v>
      </c>
      <c r="F76" s="3" t="n">
        <v>2026</v>
      </c>
      <c r="G76" s="3" t="inlineStr">
        <is>
          <t>Active in 2026</t>
        </is>
      </c>
      <c r="H76" s="3" t="inlineStr">
        <is>
          <t>Advanced</t>
        </is>
      </c>
      <c r="I76" s="3" t="inlineStr">
        <is>
          <t>Yes</t>
        </is>
      </c>
      <c r="J76" s="3" t="inlineStr"/>
      <c r="K76" s="3" t="inlineStr"/>
      <c r="L76" s="3" t="inlineStr"/>
      <c r="M76" s="3" t="inlineStr"/>
      <c r="N76" s="3" t="inlineStr"/>
      <c r="O76" s="3" t="inlineStr"/>
      <c r="P76" s="3" t="inlineStr"/>
      <c r="Q76" s="3" t="inlineStr">
        <is>
          <t>Data, fully-sharded, tensor, pipeline, expert and context parallelism split models and data across devices; real runs combine several.</t>
        </is>
      </c>
      <c r="R76" s="3" t="inlineStr">
        <is>
          <t>• FSDP shards parameters, gradients and optimizer state.
• Tensor and expert parallelism need fast scale-up links; pipeline tolerates slower links.</t>
        </is>
      </c>
      <c r="S76" s="3" t="inlineStr"/>
      <c r="T76" s="3" t="n">
        <v>5</v>
      </c>
    </row>
    <row r="77">
      <c r="A77" s="3" t="n">
        <v>76</v>
      </c>
      <c r="B77" s="3" t="inlineStr">
        <is>
          <t>Scaling laws</t>
        </is>
      </c>
      <c r="C77" s="3" t="inlineStr"/>
      <c r="D77" s="3" t="inlineStr">
        <is>
          <t>08. Training at Scale and Fine-Tuning</t>
        </is>
      </c>
      <c r="E77" s="3" t="n">
        <v>2020</v>
      </c>
      <c r="F77" s="3" t="n">
        <v>2026</v>
      </c>
      <c r="G77" s="3" t="inlineStr">
        <is>
          <t>Active in 2026</t>
        </is>
      </c>
      <c r="H77" s="3" t="inlineStr">
        <is>
          <t>Intermediate</t>
        </is>
      </c>
      <c r="I77" s="3" t="inlineStr">
        <is>
          <t>Yes</t>
        </is>
      </c>
      <c r="J77" s="3" t="inlineStr"/>
      <c r="K77" s="3" t="inlineStr"/>
      <c r="L77" s="3" t="inlineStr"/>
      <c r="M77" s="3" t="inlineStr"/>
      <c r="N77" s="3" t="inlineStr"/>
      <c r="O77" s="3" t="inlineStr"/>
      <c r="P77" s="3" t="inlineStr"/>
      <c r="Q77" s="3" t="inlineStr">
        <is>
          <t>Empirical power laws relating loss to parameters, data and compute; now also studied for RL and test-time compute.</t>
        </is>
      </c>
      <c r="R77" s="3" t="inlineStr">
        <is>
          <t>• Compute-optimal data-to-parameter ratio was roughly 20 tokens per parameter (Chinchilla).
• Inference cost now pushes teams to over-train smaller models.</t>
        </is>
      </c>
      <c r="S77" s="3" t="inlineStr"/>
      <c r="T77" s="3" t="n">
        <v>2</v>
      </c>
    </row>
    <row r="78">
      <c r="A78" s="3" t="n">
        <v>77</v>
      </c>
      <c r="B78" s="3" t="inlineStr">
        <is>
          <t>Muon and modern optimizers</t>
        </is>
      </c>
      <c r="C78" s="3" t="inlineStr"/>
      <c r="D78" s="3" t="inlineStr">
        <is>
          <t>08. Training at Scale and Fine-Tuning</t>
        </is>
      </c>
      <c r="E78" s="3" t="n">
        <v>2024</v>
      </c>
      <c r="F78" s="3" t="n">
        <v>2026</v>
      </c>
      <c r="G78" s="3" t="inlineStr">
        <is>
          <t>Active in 2026</t>
        </is>
      </c>
      <c r="H78" s="3" t="inlineStr">
        <is>
          <t>Advanced</t>
        </is>
      </c>
      <c r="I78" s="3" t="inlineStr"/>
      <c r="J78" s="3" t="inlineStr"/>
      <c r="K78" s="3" t="inlineStr">
        <is>
          <t>Yes</t>
        </is>
      </c>
      <c r="L78" s="3" t="inlineStr"/>
      <c r="M78" s="3" t="inlineStr"/>
      <c r="N78" s="3" t="inlineStr"/>
      <c r="O78" s="3" t="inlineStr"/>
      <c r="P78" s="3" t="inlineStr"/>
      <c r="Q78" s="3" t="inlineStr">
        <is>
          <t>Muon orthogonalises momentum updates for matrix parameters and trains faster than AdamW at scale.</t>
        </is>
      </c>
      <c r="R78" s="3" t="inlineStr">
        <is>
          <t>• Newton-Schulz iterations approximate orthogonalisation cheaply.
• Usually combined with AdamW for embeddings and norms.</t>
        </is>
      </c>
      <c r="S78" s="3" t="inlineStr">
        <is>
          <t>Adopted in frontier open models including Kimi K2 and DeepSeek V4.</t>
        </is>
      </c>
      <c r="T78" s="3" t="n">
        <v>3</v>
      </c>
    </row>
    <row r="79">
      <c r="A79" s="3" t="n">
        <v>78</v>
      </c>
      <c r="B79" s="3" t="inlineStr">
        <is>
          <t>Data curation and synthetic data</t>
        </is>
      </c>
      <c r="C79" s="3" t="inlineStr"/>
      <c r="D79" s="3" t="inlineStr">
        <is>
          <t>08. Training at Scale and Fine-Tuning</t>
        </is>
      </c>
      <c r="E79" s="3" t="n">
        <v>2023</v>
      </c>
      <c r="F79" s="3" t="n">
        <v>2026</v>
      </c>
      <c r="G79" s="3" t="inlineStr">
        <is>
          <t>Active in 2026</t>
        </is>
      </c>
      <c r="H79" s="3" t="inlineStr">
        <is>
          <t>Intermediate</t>
        </is>
      </c>
      <c r="I79" s="3" t="inlineStr"/>
      <c r="J79" s="3" t="inlineStr"/>
      <c r="K79" s="3" t="inlineStr"/>
      <c r="L79" s="3" t="inlineStr"/>
      <c r="M79" s="3" t="inlineStr"/>
      <c r="N79" s="3" t="inlineStr"/>
      <c r="O79" s="3" t="inlineStr"/>
      <c r="P79" s="3" t="inlineStr"/>
      <c r="Q79" s="3" t="inlineStr">
        <is>
          <t>Classifier filtering, deduplication, and synthetic textbooks, reasoning traces and agent trajectories.</t>
        </is>
      </c>
      <c r="R79" s="3" t="inlineStr">
        <is>
          <t>• Quality classifiers trained on curated seed data filter web crawls.
• Synthetic data risks collapse without real-data anchoring and verification.</t>
        </is>
      </c>
      <c r="S79" s="3" t="inlineStr">
        <is>
          <t>DeepSeek V4 pretrained on 32T+ tokens, more than double V3's corpus.</t>
        </is>
      </c>
      <c r="T79" s="3" t="n">
        <v>2</v>
      </c>
    </row>
    <row r="80">
      <c r="A80" s="3" t="n">
        <v>79</v>
      </c>
      <c r="B80" s="3" t="inlineStr">
        <is>
          <t>Mid-training</t>
        </is>
      </c>
      <c r="C80" s="3" t="inlineStr"/>
      <c r="D80" s="3" t="inlineStr">
        <is>
          <t>08. Training at Scale and Fine-Tuning</t>
        </is>
      </c>
      <c r="E80" s="3" t="n">
        <v>2024</v>
      </c>
      <c r="F80" s="3" t="n">
        <v>2026</v>
      </c>
      <c r="G80" s="3" t="inlineStr">
        <is>
          <t>Active in 2026</t>
        </is>
      </c>
      <c r="H80" s="3" t="inlineStr">
        <is>
          <t>Intermediate</t>
        </is>
      </c>
      <c r="I80" s="3" t="inlineStr"/>
      <c r="J80" s="3" t="inlineStr"/>
      <c r="K80" s="3" t="inlineStr"/>
      <c r="L80" s="3" t="inlineStr"/>
      <c r="M80" s="3" t="inlineStr"/>
      <c r="N80" s="3" t="inlineStr"/>
      <c r="O80" s="3" t="inlineStr"/>
      <c r="P80" s="3" t="inlineStr"/>
      <c r="Q80" s="3" t="inlineStr">
        <is>
          <t>A stage between pretraining and post-training that shifts the mix toward code, math, long context and reasoning.</t>
        </is>
      </c>
      <c r="R80" s="3" t="inlineStr">
        <is>
          <t>• Often includes long-context extension and instruction-like data.
• Sets up the base model for efficient RL later.</t>
        </is>
      </c>
      <c r="S80" s="3" t="inlineStr"/>
      <c r="T80" s="3" t="n">
        <v>1</v>
      </c>
    </row>
    <row r="81">
      <c r="A81" s="3" t="n">
        <v>80</v>
      </c>
      <c r="B81" s="3" t="inlineStr">
        <is>
          <t>LoRA and parameter-efficient fine-tuning</t>
        </is>
      </c>
      <c r="C81" s="3" t="inlineStr">
        <is>
          <t>PEFT, LoRA, QLoRA</t>
        </is>
      </c>
      <c r="D81" s="3" t="inlineStr">
        <is>
          <t>08. Training at Scale and Fine-Tuning</t>
        </is>
      </c>
      <c r="E81" s="3" t="n">
        <v>2021</v>
      </c>
      <c r="F81" s="3" t="n">
        <v>2025</v>
      </c>
      <c r="G81" s="3" t="inlineStr">
        <is>
          <t>Established</t>
        </is>
      </c>
      <c r="H81" s="3" t="inlineStr">
        <is>
          <t>Intermediate</t>
        </is>
      </c>
      <c r="I81" s="3" t="inlineStr"/>
      <c r="J81" s="3" t="inlineStr"/>
      <c r="K81" s="3" t="inlineStr"/>
      <c r="L81" s="3" t="inlineStr"/>
      <c r="M81" s="3" t="inlineStr"/>
      <c r="N81" s="3" t="inlineStr"/>
      <c r="O81" s="3" t="inlineStr"/>
      <c r="P81" s="3" t="inlineStr">
        <is>
          <t>Yes</t>
        </is>
      </c>
      <c r="Q81" s="3" t="inlineStr">
        <is>
          <t>Train small low-rank adapters instead of all weights; QLoRA does it on a 4-bit base.</t>
        </is>
      </c>
      <c r="R81" s="3" t="inlineStr">
        <is>
          <t>• Adapters are small files you can swap per customer or task.
• Higher ranks and all-layer adapters close most of the gap to full fine-tuning.</t>
        </is>
      </c>
      <c r="S81" s="3" t="inlineStr"/>
      <c r="T81" s="3" t="n">
        <v>4</v>
      </c>
    </row>
    <row r="82">
      <c r="A82" s="3" t="n">
        <v>81</v>
      </c>
      <c r="B82" s="3" t="inlineStr">
        <is>
          <t>Fine-tuning toolkits and APIs</t>
        </is>
      </c>
      <c r="C82" s="3" t="inlineStr"/>
      <c r="D82" s="3" t="inlineStr">
        <is>
          <t>08. Training at Scale and Fine-Tuning</t>
        </is>
      </c>
      <c r="E82" s="3" t="n">
        <v>2023</v>
      </c>
      <c r="F82" s="3" t="n">
        <v>2026</v>
      </c>
      <c r="G82" s="3" t="inlineStr">
        <is>
          <t>Active in 2026</t>
        </is>
      </c>
      <c r="H82" s="3" t="inlineStr">
        <is>
          <t>Beginner</t>
        </is>
      </c>
      <c r="I82" s="3" t="inlineStr"/>
      <c r="J82" s="3" t="inlineStr"/>
      <c r="K82" s="3" t="inlineStr"/>
      <c r="L82" s="3" t="inlineStr">
        <is>
          <t>Yes</t>
        </is>
      </c>
      <c r="M82" s="3" t="inlineStr"/>
      <c r="N82" s="3" t="inlineStr"/>
      <c r="O82" s="3" t="inlineStr"/>
      <c r="P82" s="3" t="inlineStr"/>
      <c r="Q82" s="3" t="inlineStr">
        <is>
          <t>Tools that make SFT, DPO and RL fine-tuning accessible on one GPU or as a managed API.</t>
        </is>
      </c>
      <c r="R82" s="3" t="inlineStr">
        <is>
          <t>• Start with SFT on a few thousand good examples before trying RL.
• Managed APIs hide distributed training but constrain algorithms.</t>
        </is>
      </c>
      <c r="S82" s="3" t="inlineStr"/>
      <c r="T82" s="3" t="n">
        <v>4</v>
      </c>
    </row>
    <row r="83">
      <c r="A83" s="3" t="n">
        <v>82</v>
      </c>
      <c r="B83" s="3" t="inlineStr">
        <is>
          <t>Model merging</t>
        </is>
      </c>
      <c r="C83" s="3" t="inlineStr"/>
      <c r="D83" s="3" t="inlineStr">
        <is>
          <t>08. Training at Scale and Fine-Tuning</t>
        </is>
      </c>
      <c r="E83" s="3" t="n">
        <v>2023</v>
      </c>
      <c r="F83" s="3" t="n">
        <v>2025</v>
      </c>
      <c r="G83" s="3" t="inlineStr">
        <is>
          <t>Established</t>
        </is>
      </c>
      <c r="H83" s="3" t="inlineStr">
        <is>
          <t>Intermediate</t>
        </is>
      </c>
      <c r="I83" s="3" t="inlineStr"/>
      <c r="J83" s="3" t="inlineStr"/>
      <c r="K83" s="3" t="inlineStr"/>
      <c r="L83" s="3" t="inlineStr"/>
      <c r="M83" s="3" t="inlineStr"/>
      <c r="N83" s="3" t="inlineStr"/>
      <c r="O83" s="3" t="inlineStr"/>
      <c r="P83" s="3" t="inlineStr"/>
      <c r="Q83" s="3" t="inlineStr">
        <is>
          <t>Combining weights of several fine-tunes (SLERP, TIES, DARE) without further training.</t>
        </is>
      </c>
      <c r="R83" s="3" t="inlineStr">
        <is>
          <t>• Works best between fine-tunes of the same base model.
• Popular for combining skills or languages cheaply.</t>
        </is>
      </c>
      <c r="S83" s="3" t="inlineStr"/>
      <c r="T83" s="3" t="n">
        <v>1</v>
      </c>
    </row>
    <row r="84">
      <c r="A84" s="3" t="n">
        <v>83</v>
      </c>
      <c r="B84" s="3" t="inlineStr">
        <is>
          <t>Decentralized training</t>
        </is>
      </c>
      <c r="C84" s="3" t="inlineStr">
        <is>
          <t>DiLoCo</t>
        </is>
      </c>
      <c r="D84" s="3" t="inlineStr">
        <is>
          <t>08. Training at Scale and Fine-Tuning</t>
        </is>
      </c>
      <c r="E84" s="3" t="n">
        <v>2023</v>
      </c>
      <c r="F84" s="3" t="n">
        <v>2026</v>
      </c>
      <c r="G84" s="3" t="inlineStr">
        <is>
          <t>Active in 2026</t>
        </is>
      </c>
      <c r="H84" s="3" t="inlineStr">
        <is>
          <t>Advanced</t>
        </is>
      </c>
      <c r="I84" s="3" t="inlineStr"/>
      <c r="J84" s="3" t="inlineStr"/>
      <c r="K84" s="3" t="inlineStr">
        <is>
          <t>Yes</t>
        </is>
      </c>
      <c r="L84" s="3" t="inlineStr"/>
      <c r="M84" s="3" t="inlineStr"/>
      <c r="N84" s="3" t="inlineStr"/>
      <c r="O84" s="3" t="inlineStr"/>
      <c r="P84" s="3" t="inlineStr"/>
      <c r="Q84" s="3" t="inlineStr">
        <is>
          <t>Training across loosely connected clusters that synchronise rarely.</t>
        </is>
      </c>
      <c r="R84" s="3" t="inlineStr">
        <is>
          <t>• Workers train locally for many steps, then average updates.
• Enables training across datacenters and volunteer compute.</t>
        </is>
      </c>
      <c r="S84" s="3" t="inlineStr"/>
      <c r="T84" s="3" t="n">
        <v>2</v>
      </c>
    </row>
    <row r="85">
      <c r="A85" s="3" t="n">
        <v>84</v>
      </c>
      <c r="B85" s="3" t="inlineStr">
        <is>
          <t>Build-it-yourself references</t>
        </is>
      </c>
      <c r="C85" s="3" t="inlineStr"/>
      <c r="D85" s="3" t="inlineStr">
        <is>
          <t>08. Training at Scale and Fine-Tuning</t>
        </is>
      </c>
      <c r="E85" s="3" t="n">
        <v>2023</v>
      </c>
      <c r="F85" s="3" t="n">
        <v>2026</v>
      </c>
      <c r="G85" s="3" t="inlineStr">
        <is>
          <t>Active in 2026</t>
        </is>
      </c>
      <c r="H85" s="3" t="inlineStr">
        <is>
          <t>Beginner</t>
        </is>
      </c>
      <c r="I85" s="3" t="inlineStr"/>
      <c r="J85" s="3" t="inlineStr"/>
      <c r="K85" s="3" t="inlineStr"/>
      <c r="L85" s="3" t="inlineStr">
        <is>
          <t>Yes</t>
        </is>
      </c>
      <c r="M85" s="3" t="inlineStr"/>
      <c r="N85" s="3" t="inlineStr"/>
      <c r="O85" s="3" t="inlineStr"/>
      <c r="P85" s="3" t="inlineStr"/>
      <c r="Q85" s="3" t="inlineStr">
        <is>
          <t>Minimal end-to-end codebases for learning how chat models are trained.</t>
        </is>
      </c>
      <c r="R85" s="3" t="inlineStr">
        <is>
          <t>• nanochat trains a small ChatGPT-like model end to end for a few hundred dollars.
• CS336 covers tokenizers, kernels, scaling and alignment from scratch.</t>
        </is>
      </c>
      <c r="S85" s="3" t="inlineStr"/>
      <c r="T85" s="3" t="n">
        <v>2</v>
      </c>
    </row>
    <row r="86">
      <c r="A86" s="3" t="n">
        <v>85</v>
      </c>
      <c r="B86" s="3" t="inlineStr">
        <is>
          <t>Inference engines</t>
        </is>
      </c>
      <c r="C86" s="3" t="inlineStr"/>
      <c r="D86" s="3" t="inlineStr">
        <is>
          <t>09. Inference and Serving</t>
        </is>
      </c>
      <c r="E86" s="3" t="n">
        <v>2023</v>
      </c>
      <c r="F86" s="3" t="n">
        <v>2026</v>
      </c>
      <c r="G86" s="3" t="inlineStr">
        <is>
          <t>Active in 2026</t>
        </is>
      </c>
      <c r="H86" s="3" t="inlineStr">
        <is>
          <t>Beginner</t>
        </is>
      </c>
      <c r="I86" s="3" t="inlineStr"/>
      <c r="J86" s="3" t="inlineStr">
        <is>
          <t>Yes</t>
        </is>
      </c>
      <c r="K86" s="3" t="inlineStr"/>
      <c r="L86" s="3" t="inlineStr">
        <is>
          <t>Yes</t>
        </is>
      </c>
      <c r="M86" s="3" t="inlineStr"/>
      <c r="N86" s="3" t="inlineStr"/>
      <c r="O86" s="3" t="inlineStr"/>
      <c r="P86" s="3" t="inlineStr"/>
      <c r="Q86" s="3" t="inlineStr">
        <is>
          <t>Servers that batch requests, manage the KV cache and run optimised kernels.</t>
        </is>
      </c>
      <c r="R86" s="3" t="inlineStr">
        <is>
          <t>• Pick by hardware, model support and features (disaggregation, LoRA, structured output).
• Benchmark on your own traffic shape.</t>
        </is>
      </c>
      <c r="S86" s="3" t="inlineStr">
        <is>
          <t>vLLM and SGLang lead open serving; llama.cpp, Ollama and MLX dominate local use.</t>
        </is>
      </c>
      <c r="T86" s="3" t="n">
        <v>6</v>
      </c>
    </row>
    <row r="87">
      <c r="A87" s="3" t="n">
        <v>86</v>
      </c>
      <c r="B87" s="3" t="inlineStr">
        <is>
          <t>KV cache and PagedAttention</t>
        </is>
      </c>
      <c r="C87" s="3" t="inlineStr"/>
      <c r="D87" s="3" t="inlineStr">
        <is>
          <t>09. Inference and Serving</t>
        </is>
      </c>
      <c r="E87" s="3" t="n">
        <v>2023</v>
      </c>
      <c r="F87" s="3" t="n">
        <v>2025</v>
      </c>
      <c r="G87" s="3" t="inlineStr">
        <is>
          <t>Established</t>
        </is>
      </c>
      <c r="H87" s="3" t="inlineStr">
        <is>
          <t>Intermediate</t>
        </is>
      </c>
      <c r="I87" s="3" t="inlineStr">
        <is>
          <t>Yes</t>
        </is>
      </c>
      <c r="J87" s="3" t="inlineStr"/>
      <c r="K87" s="3" t="inlineStr"/>
      <c r="L87" s="3" t="inlineStr"/>
      <c r="M87" s="3" t="inlineStr"/>
      <c r="N87" s="3" t="inlineStr"/>
      <c r="O87" s="3" t="inlineStr"/>
      <c r="P87" s="3" t="inlineStr"/>
      <c r="Q87" s="3" t="inlineStr">
        <is>
          <t>Keys and values of past tokens are cached; PagedAttention stores them in fixed pages like virtual memory.</t>
        </is>
      </c>
      <c r="R87" s="3" t="inlineStr">
        <is>
          <t>• KV memory grows with batch size times sequence length.
• Paging enables sharing and near-zero waste.</t>
        </is>
      </c>
      <c r="S87" s="3" t="inlineStr"/>
      <c r="T87" s="3" t="n">
        <v>1</v>
      </c>
    </row>
    <row r="88">
      <c r="A88" s="3" t="n">
        <v>87</v>
      </c>
      <c r="B88" s="3" t="inlineStr">
        <is>
          <t>Continuous batching and prefix caching</t>
        </is>
      </c>
      <c r="C88" s="3" t="inlineStr"/>
      <c r="D88" s="3" t="inlineStr">
        <is>
          <t>09. Inference and Serving</t>
        </is>
      </c>
      <c r="E88" s="3" t="n">
        <v>2022</v>
      </c>
      <c r="F88" s="3" t="n">
        <v>2025</v>
      </c>
      <c r="G88" s="3" t="inlineStr">
        <is>
          <t>Established</t>
        </is>
      </c>
      <c r="H88" s="3" t="inlineStr">
        <is>
          <t>Intermediate</t>
        </is>
      </c>
      <c r="I88" s="3" t="inlineStr"/>
      <c r="J88" s="3" t="inlineStr"/>
      <c r="K88" s="3" t="inlineStr"/>
      <c r="L88" s="3" t="inlineStr"/>
      <c r="M88" s="3" t="inlineStr"/>
      <c r="N88" s="3" t="inlineStr"/>
      <c r="O88" s="3" t="inlineStr"/>
      <c r="P88" s="3" t="inlineStr">
        <is>
          <t>Yes</t>
        </is>
      </c>
      <c r="Q88" s="3" t="inlineStr">
        <is>
          <t>Add and remove requests every step, and share cached prefixes (radix trees) across requests.</t>
        </is>
      </c>
      <c r="R88" s="3" t="inlineStr">
        <is>
          <t>• Keeps GPUs busy despite requests of different lengths.
• Prefix sharing is huge for agents with long common system prompts.</t>
        </is>
      </c>
      <c r="S88" s="3" t="inlineStr"/>
      <c r="T88" s="3" t="n">
        <v>1</v>
      </c>
    </row>
    <row r="89">
      <c r="A89" s="3" t="n">
        <v>88</v>
      </c>
      <c r="B89" s="3" t="inlineStr">
        <is>
          <t>Prefill/decode disaggregation</t>
        </is>
      </c>
      <c r="C89" s="3" t="inlineStr">
        <is>
          <t>PD disaggregation</t>
        </is>
      </c>
      <c r="D89" s="3" t="inlineStr">
        <is>
          <t>09. Inference and Serving</t>
        </is>
      </c>
      <c r="E89" s="3" t="n">
        <v>2024</v>
      </c>
      <c r="F89" s="3" t="n">
        <v>2026</v>
      </c>
      <c r="G89" s="3" t="inlineStr">
        <is>
          <t>Active in 2026</t>
        </is>
      </c>
      <c r="H89" s="3" t="inlineStr">
        <is>
          <t>Advanced</t>
        </is>
      </c>
      <c r="I89" s="3" t="inlineStr"/>
      <c r="J89" s="3" t="inlineStr">
        <is>
          <t>Yes</t>
        </is>
      </c>
      <c r="K89" s="3" t="inlineStr"/>
      <c r="L89" s="3" t="inlineStr"/>
      <c r="M89" s="3" t="inlineStr"/>
      <c r="N89" s="3" t="inlineStr"/>
      <c r="O89" s="3" t="inlineStr"/>
      <c r="P89" s="3" t="inlineStr">
        <is>
          <t>Yes</t>
        </is>
      </c>
      <c r="Q89" s="3" t="inlineStr">
        <is>
          <t>Run compute-bound prefill and memory-bound decode on separate pools, moving KV caches between them.</t>
        </is>
      </c>
      <c r="R89" s="3" t="inlineStr">
        <is>
          <t>• NVIDIA now builds separate rack types for prefill (CPX) and decode, scheduled together by Dynamo.</t>
        </is>
      </c>
      <c r="S89" s="3" t="inlineStr">
        <is>
          <t>Standard for large-scale serving of million-token contexts in 2026.</t>
        </is>
      </c>
      <c r="T89" s="3" t="n">
        <v>4</v>
      </c>
    </row>
    <row r="90">
      <c r="A90" s="3" t="n">
        <v>89</v>
      </c>
      <c r="B90" s="3" t="inlineStr">
        <is>
          <t>KV cache offloading</t>
        </is>
      </c>
      <c r="C90" s="3" t="inlineStr"/>
      <c r="D90" s="3" t="inlineStr">
        <is>
          <t>09. Inference and Serving</t>
        </is>
      </c>
      <c r="E90" s="3" t="n">
        <v>2024</v>
      </c>
      <c r="F90" s="3" t="n">
        <v>2026</v>
      </c>
      <c r="G90" s="3" t="inlineStr">
        <is>
          <t>Active in 2026</t>
        </is>
      </c>
      <c r="H90" s="3" t="inlineStr">
        <is>
          <t>Advanced</t>
        </is>
      </c>
      <c r="I90" s="3" t="inlineStr"/>
      <c r="J90" s="3" t="inlineStr"/>
      <c r="K90" s="3" t="inlineStr"/>
      <c r="L90" s="3" t="inlineStr"/>
      <c r="M90" s="3" t="inlineStr"/>
      <c r="N90" s="3" t="inlineStr"/>
      <c r="O90" s="3" t="inlineStr"/>
      <c r="P90" s="3" t="inlineStr">
        <is>
          <t>Yes</t>
        </is>
      </c>
      <c r="Q90" s="3" t="inlineStr">
        <is>
          <t>Spill KV caches to CPU memory, SSD or remote storage and reload them for later turns.</t>
        </is>
      </c>
      <c r="R90" s="3" t="inlineStr">
        <is>
          <t>• Turns re-prefill into a memory read.
• Tiered storage: HBM, CPU DRAM, local SSD, network.</t>
        </is>
      </c>
      <c r="S90" s="3" t="inlineStr"/>
      <c r="T90" s="3" t="n">
        <v>1</v>
      </c>
    </row>
    <row r="91">
      <c r="A91" s="3" t="n">
        <v>90</v>
      </c>
      <c r="B91" s="3" t="inlineStr">
        <is>
          <t>Attention kernels</t>
        </is>
      </c>
      <c r="C91" s="3" t="inlineStr">
        <is>
          <t>FlashAttention</t>
        </is>
      </c>
      <c r="D91" s="3" t="inlineStr">
        <is>
          <t>09. Inference and Serving</t>
        </is>
      </c>
      <c r="E91" s="3" t="n">
        <v>2022</v>
      </c>
      <c r="F91" s="3" t="n">
        <v>2026</v>
      </c>
      <c r="G91" s="3" t="inlineStr">
        <is>
          <t>Active in 2026</t>
        </is>
      </c>
      <c r="H91" s="3" t="inlineStr">
        <is>
          <t>Advanced</t>
        </is>
      </c>
      <c r="I91" s="3" t="inlineStr"/>
      <c r="J91" s="3" t="inlineStr"/>
      <c r="K91" s="3" t="inlineStr"/>
      <c r="L91" s="3" t="inlineStr"/>
      <c r="M91" s="3" t="inlineStr"/>
      <c r="N91" s="3" t="inlineStr"/>
      <c r="O91" s="3" t="inlineStr"/>
      <c r="P91" s="3" t="inlineStr"/>
      <c r="Q91" s="3" t="inlineStr">
        <is>
          <t>IO-aware fused attention kernels that avoid materialising the full attention matrix.</t>
        </is>
      </c>
      <c r="R91" s="3" t="inlineStr">
        <is>
          <t>• Tiling keeps data in fast on-chip SRAM.
• New versions target Hopper, Blackwell and FP8/FP4 paths.</t>
        </is>
      </c>
      <c r="S91" s="3" t="inlineStr"/>
      <c r="T91" s="3" t="n">
        <v>2</v>
      </c>
    </row>
    <row r="92">
      <c r="A92" s="3" t="n">
        <v>91</v>
      </c>
      <c r="B92" s="3" t="inlineStr">
        <is>
          <t>On-device and edge inference</t>
        </is>
      </c>
      <c r="C92" s="3" t="inlineStr"/>
      <c r="D92" s="3" t="inlineStr">
        <is>
          <t>09. Inference and Serving</t>
        </is>
      </c>
      <c r="E92" s="3" t="n">
        <v>2023</v>
      </c>
      <c r="F92" s="3" t="n">
        <v>2026</v>
      </c>
      <c r="G92" s="3" t="inlineStr">
        <is>
          <t>Active in 2026</t>
        </is>
      </c>
      <c r="H92" s="3" t="inlineStr">
        <is>
          <t>Beginner</t>
        </is>
      </c>
      <c r="I92" s="3" t="inlineStr"/>
      <c r="J92" s="3" t="inlineStr"/>
      <c r="K92" s="3" t="inlineStr"/>
      <c r="L92" s="3" t="inlineStr"/>
      <c r="M92" s="3" t="inlineStr"/>
      <c r="N92" s="3" t="inlineStr"/>
      <c r="O92" s="3" t="inlineStr"/>
      <c r="P92" s="3" t="inlineStr">
        <is>
          <t>Yes</t>
        </is>
      </c>
      <c r="Q92" s="3" t="inlineStr">
        <is>
          <t>Running models on phones, laptops and embedded hardware with quantised weights and NPU runtimes.</t>
        </is>
      </c>
      <c r="R92" s="3" t="inlineStr">
        <is>
          <t>• Privacy and offline use are the main drivers.
• Memory bandwidth, not compute, limits phone and laptop token rates.</t>
        </is>
      </c>
      <c r="S92" s="3" t="inlineStr"/>
      <c r="T92" s="3" t="n">
        <v>2</v>
      </c>
    </row>
    <row r="93">
      <c r="A93" s="3" t="n">
        <v>92</v>
      </c>
      <c r="B93" s="3" t="inlineStr">
        <is>
          <t>LLM gateways and routers</t>
        </is>
      </c>
      <c r="C93" s="3" t="inlineStr"/>
      <c r="D93" s="3" t="inlineStr">
        <is>
          <t>09. Inference and Serving</t>
        </is>
      </c>
      <c r="E93" s="3" t="n">
        <v>2023</v>
      </c>
      <c r="F93" s="3" t="n">
        <v>2026</v>
      </c>
      <c r="G93" s="3" t="inlineStr">
        <is>
          <t>Active in 2026</t>
        </is>
      </c>
      <c r="H93" s="3" t="inlineStr">
        <is>
          <t>Beginner</t>
        </is>
      </c>
      <c r="I93" s="3" t="inlineStr"/>
      <c r="J93" s="3" t="inlineStr">
        <is>
          <t>Yes</t>
        </is>
      </c>
      <c r="K93" s="3" t="inlineStr"/>
      <c r="L93" s="3" t="inlineStr"/>
      <c r="M93" s="3" t="inlineStr"/>
      <c r="N93" s="3" t="inlineStr"/>
      <c r="O93" s="3" t="inlineStr"/>
      <c r="P93" s="3" t="inlineStr">
        <is>
          <t>Yes</t>
        </is>
      </c>
      <c r="Q93" s="3" t="inlineStr">
        <is>
          <t>One API over many providers with fallbacks, budgets, caching and routing to cheaper models.</t>
        </is>
      </c>
      <c r="R93" s="3" t="inlineStr">
        <is>
          <t>• Central place for keys, rate limits, logging and cost control.
• Routers send easy prompts to cheap models.</t>
        </is>
      </c>
      <c r="S93" s="3" t="inlineStr"/>
      <c r="T93" s="3" t="n">
        <v>2</v>
      </c>
    </row>
    <row r="94">
      <c r="A94" s="3" t="n">
        <v>93</v>
      </c>
      <c r="B94" s="3" t="inlineStr">
        <is>
          <t>Inference benchmarking</t>
        </is>
      </c>
      <c r="C94" s="3" t="inlineStr"/>
      <c r="D94" s="3" t="inlineStr">
        <is>
          <t>09. Inference and Serving</t>
        </is>
      </c>
      <c r="E94" s="3" t="n">
        <v>2025</v>
      </c>
      <c r="F94" s="3" t="n">
        <v>2026</v>
      </c>
      <c r="G94" s="3" t="inlineStr">
        <is>
          <t>Active in 2026</t>
        </is>
      </c>
      <c r="H94" s="3" t="inlineStr">
        <is>
          <t>Intermediate</t>
        </is>
      </c>
      <c r="I94" s="3" t="inlineStr"/>
      <c r="J94" s="3" t="inlineStr"/>
      <c r="K94" s="3" t="inlineStr"/>
      <c r="L94" s="3" t="inlineStr"/>
      <c r="M94" s="3" t="inlineStr"/>
      <c r="N94" s="3" t="inlineStr"/>
      <c r="O94" s="3" t="inlineStr"/>
      <c r="P94" s="3" t="inlineStr">
        <is>
          <t>Yes</t>
        </is>
      </c>
      <c r="Q94" s="3" t="inlineStr">
        <is>
          <t>Measuring throughput, latency and cost per million tokens across hardware and software stacks.</t>
        </is>
      </c>
      <c r="R94" s="3" t="inlineStr">
        <is>
          <t>• Report throughput at a fixed latency target.
• Cost per million tokens depends on batch size and cache hit rate.</t>
        </is>
      </c>
      <c r="S94" s="3" t="inlineStr"/>
      <c r="T94" s="3" t="n">
        <v>2</v>
      </c>
    </row>
    <row r="95">
      <c r="A95" s="3" t="n">
        <v>94</v>
      </c>
      <c r="B95" s="3" t="inlineStr">
        <is>
          <t>Microscaling formats</t>
        </is>
      </c>
      <c r="C95" s="3" t="inlineStr">
        <is>
          <t>MX, MXFP8, MXFP4</t>
        </is>
      </c>
      <c r="D95" s="3" t="inlineStr">
        <is>
          <t>10. Quantization and Number Formats</t>
        </is>
      </c>
      <c r="E95" s="3" t="n">
        <v>2023</v>
      </c>
      <c r="F95" s="3" t="n">
        <v>2026</v>
      </c>
      <c r="G95" s="3" t="inlineStr">
        <is>
          <t>Active in 2026</t>
        </is>
      </c>
      <c r="H95" s="3" t="inlineStr">
        <is>
          <t>Advanced</t>
        </is>
      </c>
      <c r="I95" s="3" t="inlineStr"/>
      <c r="J95" s="3" t="inlineStr"/>
      <c r="K95" s="3" t="inlineStr"/>
      <c r="L95" s="3" t="inlineStr"/>
      <c r="M95" s="3" t="inlineStr">
        <is>
          <t>Yes</t>
        </is>
      </c>
      <c r="N95" s="3" t="inlineStr"/>
      <c r="O95" s="3" t="inlineStr"/>
      <c r="P95" s="3" t="inlineStr">
        <is>
          <t>Yes</t>
        </is>
      </c>
      <c r="Q95" s="3" t="inlineStr">
        <is>
          <t>An Open Compute Project standard: blocks of values share one scale, making 8-, 6- and 4-bit floats accurate enough for training and inference.</t>
        </is>
      </c>
      <c r="R95" s="3" t="inlineStr">
        <is>
          <t>• Shared 8-bit exponent scale per 32-element block.
• Supported by NVIDIA, AMD, Intel, Arm, Meta and Microsoft.</t>
        </is>
      </c>
      <c r="S95" s="3" t="inlineStr"/>
      <c r="T95" s="3" t="n">
        <v>3</v>
      </c>
    </row>
    <row r="96">
      <c r="A96" s="3" t="n">
        <v>95</v>
      </c>
      <c r="B96" s="3" t="inlineStr">
        <is>
          <t>NVFP4</t>
        </is>
      </c>
      <c r="C96" s="3" t="inlineStr"/>
      <c r="D96" s="3" t="inlineStr">
        <is>
          <t>10. Quantization and Number Formats</t>
        </is>
      </c>
      <c r="E96" s="3" t="n">
        <v>2025</v>
      </c>
      <c r="F96" s="3" t="n">
        <v>2026</v>
      </c>
      <c r="G96" s="3" t="inlineStr">
        <is>
          <t>Active in 2026</t>
        </is>
      </c>
      <c r="H96" s="3" t="inlineStr">
        <is>
          <t>Advanced</t>
        </is>
      </c>
      <c r="I96" s="3" t="inlineStr"/>
      <c r="J96" s="3" t="inlineStr"/>
      <c r="K96" s="3" t="inlineStr"/>
      <c r="L96" s="3" t="inlineStr"/>
      <c r="M96" s="3" t="inlineStr"/>
      <c r="N96" s="3" t="inlineStr"/>
      <c r="O96" s="3" t="inlineStr"/>
      <c r="P96" s="3" t="inlineStr">
        <is>
          <t>Yes</t>
        </is>
      </c>
      <c r="Q96" s="3" t="inlineStr">
        <is>
          <t>NVIDIA's 4-bit float with 16-value blocks and FP8 scales, native on Blackwell and Rubin.</t>
        </is>
      </c>
      <c r="R96" s="3" t="inlineStr">
        <is>
          <t>• Smaller blocks and finer scales than MXFP4 improve accuracy.
• Increasingly used for pretraining as well as inference.</t>
        </is>
      </c>
      <c r="S96" s="3" t="inlineStr">
        <is>
          <t>Rubin rack performance is quoted primarily in FP4 exaflops.</t>
        </is>
      </c>
      <c r="T96" s="3" t="n">
        <v>1</v>
      </c>
    </row>
    <row r="97">
      <c r="A97" s="3" t="n">
        <v>96</v>
      </c>
      <c r="B97" s="3" t="inlineStr">
        <is>
          <t>FP8 training and inference</t>
        </is>
      </c>
      <c r="C97" s="3" t="inlineStr">
        <is>
          <t>E4M3, E5M2</t>
        </is>
      </c>
      <c r="D97" s="3" t="inlineStr">
        <is>
          <t>10. Quantization and Number Formats</t>
        </is>
      </c>
      <c r="E97" s="3" t="n">
        <v>2022</v>
      </c>
      <c r="F97" s="3" t="n">
        <v>2026</v>
      </c>
      <c r="G97" s="3" t="inlineStr">
        <is>
          <t>Active in 2026</t>
        </is>
      </c>
      <c r="H97" s="3" t="inlineStr">
        <is>
          <t>Intermediate</t>
        </is>
      </c>
      <c r="I97" s="3" t="inlineStr"/>
      <c r="J97" s="3" t="inlineStr"/>
      <c r="K97" s="3" t="inlineStr"/>
      <c r="L97" s="3" t="inlineStr"/>
      <c r="M97" s="3" t="inlineStr"/>
      <c r="N97" s="3" t="inlineStr"/>
      <c r="O97" s="3" t="inlineStr"/>
      <c r="P97" s="3" t="inlineStr"/>
      <c r="Q97" s="3" t="inlineStr">
        <is>
          <t>Two 8-bit float layouts used for large-scale training and routine serving; KV caches are often stored in FP8.</t>
        </is>
      </c>
      <c r="R97" s="3" t="inlineStr">
        <is>
          <t>• E4M3 for weights and activations, E5M2 for gradients.
• Needs per-tensor or per-block scaling to avoid overflow.</t>
        </is>
      </c>
      <c r="S97" s="3" t="inlineStr"/>
      <c r="T97" s="3" t="n">
        <v>1</v>
      </c>
    </row>
    <row r="98">
      <c r="A98" s="3" t="n">
        <v>97</v>
      </c>
      <c r="B98" s="3" t="inlineStr">
        <is>
          <t>Post-training quantization</t>
        </is>
      </c>
      <c r="C98" s="3" t="inlineStr">
        <is>
          <t>GPTQ, AWQ</t>
        </is>
      </c>
      <c r="D98" s="3" t="inlineStr">
        <is>
          <t>10. Quantization and Number Formats</t>
        </is>
      </c>
      <c r="E98" s="3" t="n">
        <v>2022</v>
      </c>
      <c r="F98" s="3" t="n">
        <v>2025</v>
      </c>
      <c r="G98" s="3" t="inlineStr">
        <is>
          <t>Established</t>
        </is>
      </c>
      <c r="H98" s="3" t="inlineStr">
        <is>
          <t>Intermediate</t>
        </is>
      </c>
      <c r="I98" s="3" t="inlineStr"/>
      <c r="J98" s="3" t="inlineStr"/>
      <c r="K98" s="3" t="inlineStr"/>
      <c r="L98" s="3" t="inlineStr"/>
      <c r="M98" s="3" t="inlineStr"/>
      <c r="N98" s="3" t="inlineStr"/>
      <c r="O98" s="3" t="inlineStr"/>
      <c r="P98" s="3" t="inlineStr">
        <is>
          <t>Yes</t>
        </is>
      </c>
      <c r="Q98" s="3" t="inlineStr">
        <is>
          <t>Compress trained weights to 4 or 8 bits using calibration data.</t>
        </is>
      </c>
      <c r="R98" s="3" t="inlineStr">
        <is>
          <t>• 4-bit weights with 16-bit activations is the common local setup.
• Always re-run your evals after quantizing.</t>
        </is>
      </c>
      <c r="S98" s="3" t="inlineStr"/>
      <c r="T98" s="3" t="n">
        <v>3</v>
      </c>
    </row>
    <row r="99">
      <c r="A99" s="3" t="n">
        <v>98</v>
      </c>
      <c r="B99" s="3" t="inlineStr">
        <is>
          <t>Quantization-aware training</t>
        </is>
      </c>
      <c r="C99" s="3" t="inlineStr">
        <is>
          <t>QAT</t>
        </is>
      </c>
      <c r="D99" s="3" t="inlineStr">
        <is>
          <t>10. Quantization and Number Formats</t>
        </is>
      </c>
      <c r="E99" s="3" t="n">
        <v>2024</v>
      </c>
      <c r="F99" s="3" t="n">
        <v>2026</v>
      </c>
      <c r="G99" s="3" t="inlineStr">
        <is>
          <t>Active in 2026</t>
        </is>
      </c>
      <c r="H99" s="3" t="inlineStr">
        <is>
          <t>Advanced</t>
        </is>
      </c>
      <c r="I99" s="3" t="inlineStr"/>
      <c r="J99" s="3" t="inlineStr"/>
      <c r="K99" s="3" t="inlineStr"/>
      <c r="L99" s="3" t="inlineStr"/>
      <c r="M99" s="3" t="inlineStr"/>
      <c r="N99" s="3" t="inlineStr"/>
      <c r="O99" s="3" t="inlineStr"/>
      <c r="P99" s="3" t="inlineStr"/>
      <c r="Q99" s="3" t="inlineStr">
        <is>
          <t>Simulate low precision during training so the model tolerates it.</t>
        </is>
      </c>
      <c r="R99" s="3" t="inlineStr">
        <is>
          <t>• Fake-quantize in the forward pass, keep full-precision master weights.
• Recovers much of the accuracy lost to aggressive PTQ.</t>
        </is>
      </c>
      <c r="S99" s="3" t="inlineStr"/>
      <c r="T99" s="3" t="n">
        <v>1</v>
      </c>
    </row>
    <row r="100">
      <c r="A100" s="3" t="n">
        <v>99</v>
      </c>
      <c r="B100" s="3" t="inlineStr">
        <is>
          <t>GGUF and local model formats</t>
        </is>
      </c>
      <c r="C100" s="3" t="inlineStr"/>
      <c r="D100" s="3" t="inlineStr">
        <is>
          <t>10. Quantization and Number Formats</t>
        </is>
      </c>
      <c r="E100" s="3" t="n">
        <v>2023</v>
      </c>
      <c r="F100" s="3" t="n">
        <v>2026</v>
      </c>
      <c r="G100" s="3" t="inlineStr">
        <is>
          <t>Active in 2026</t>
        </is>
      </c>
      <c r="H100" s="3" t="inlineStr">
        <is>
          <t>Beginner</t>
        </is>
      </c>
      <c r="I100" s="3" t="inlineStr"/>
      <c r="J100" s="3" t="inlineStr"/>
      <c r="K100" s="3" t="inlineStr"/>
      <c r="L100" s="3" t="inlineStr">
        <is>
          <t>Yes</t>
        </is>
      </c>
      <c r="M100" s="3" t="inlineStr"/>
      <c r="N100" s="3" t="inlineStr"/>
      <c r="O100" s="3" t="inlineStr"/>
      <c r="P100" s="3" t="inlineStr"/>
      <c r="Q100" s="3" t="inlineStr">
        <is>
          <t>A single-file format for quantised models used by llama.cpp and local runners.</t>
        </is>
      </c>
      <c r="R100" s="3" t="inlineStr">
        <is>
          <t>• K-quants (Q4_K_M, Q5_K_M) balance size and quality.
• Metadata stores tokenizer and chat template in the file.</t>
        </is>
      </c>
      <c r="S100" s="3" t="inlineStr"/>
      <c r="T100" s="3" t="n">
        <v>2</v>
      </c>
    </row>
    <row r="101">
      <c r="A101" s="3" t="n">
        <v>100</v>
      </c>
      <c r="B101" s="3" t="inlineStr">
        <is>
          <t>Ternary and 1-bit models</t>
        </is>
      </c>
      <c r="C101" s="3" t="inlineStr">
        <is>
          <t>BitNet</t>
        </is>
      </c>
      <c r="D101" s="3" t="inlineStr">
        <is>
          <t>10. Quantization and Number Formats</t>
        </is>
      </c>
      <c r="E101" s="3" t="n">
        <v>2024</v>
      </c>
      <c r="F101" s="3" t="n">
        <v>2025</v>
      </c>
      <c r="G101" s="3" t="inlineStr">
        <is>
          <t>Established</t>
        </is>
      </c>
      <c r="H101" s="3" t="inlineStr">
        <is>
          <t>Advanced</t>
        </is>
      </c>
      <c r="I101" s="3" t="inlineStr"/>
      <c r="J101" s="3" t="inlineStr"/>
      <c r="K101" s="3" t="inlineStr">
        <is>
          <t>Yes</t>
        </is>
      </c>
      <c r="L101" s="3" t="inlineStr"/>
      <c r="M101" s="3" t="inlineStr"/>
      <c r="N101" s="3" t="inlineStr"/>
      <c r="O101" s="3" t="inlineStr"/>
      <c r="P101" s="3" t="inlineStr"/>
      <c r="Q101" s="3" t="inlineStr">
        <is>
          <t>Weights restricted to -1, 0, +1, trained from scratch for very cheap CPU inference.</t>
        </is>
      </c>
      <c r="R101" s="3" t="inlineStr">
        <is>
          <t>• Matrix multiplies become additions and subtractions.
• Must be trained low-bit from the start.</t>
        </is>
      </c>
      <c r="S101" s="3" t="inlineStr"/>
      <c r="T101" s="3" t="n">
        <v>1</v>
      </c>
    </row>
    <row r="102">
      <c r="A102" s="3" t="n">
        <v>101</v>
      </c>
      <c r="B102" s="3" t="inlineStr">
        <is>
          <t>Rack-scale systems</t>
        </is>
      </c>
      <c r="C102" s="3" t="inlineStr">
        <is>
          <t>NVL72</t>
        </is>
      </c>
      <c r="D102" s="3" t="inlineStr">
        <is>
          <t>11. AI Hardware, Interconnect and Datacenter Standards</t>
        </is>
      </c>
      <c r="E102" s="3" t="n">
        <v>2024</v>
      </c>
      <c r="F102" s="3" t="n">
        <v>2026</v>
      </c>
      <c r="G102" s="3" t="inlineStr">
        <is>
          <t>Active in 2026</t>
        </is>
      </c>
      <c r="H102" s="3" t="inlineStr">
        <is>
          <t>Intermediate</t>
        </is>
      </c>
      <c r="I102" s="3" t="inlineStr"/>
      <c r="J102" s="3" t="inlineStr"/>
      <c r="K102" s="3" t="inlineStr"/>
      <c r="L102" s="3" t="inlineStr"/>
      <c r="M102" s="3" t="inlineStr"/>
      <c r="N102" s="3" t="inlineStr"/>
      <c r="O102" s="3" t="inlineStr"/>
      <c r="P102" s="3" t="inlineStr"/>
      <c r="Q102" s="3" t="inlineStr">
        <is>
          <t>Dozens of accelerators in one liquid-cooled rack joined by a single scale-up domain, behaving like one giant GPU.</t>
        </is>
      </c>
      <c r="R102" s="3" t="inlineStr">
        <is>
          <t>• GB200/GB300 NVL72 (Blackwell) dominated 2025.
• Vera Rubin NVL72 (72 Rubin GPUs, 36 Vera CPUs, NVLink 6, HBM4) began shipping to major clouds in 2026.</t>
        </is>
      </c>
      <c r="S102" s="3" t="inlineStr">
        <is>
          <t>NVIDIA quotes about 3.6 EF FP4 inference per Vera Rubin rack; Rubin Ultra (Kyber rack) is planned for H2 2027.</t>
        </is>
      </c>
      <c r="T102" s="3" t="n">
        <v>3</v>
      </c>
    </row>
    <row r="103">
      <c r="A103" s="3" t="n">
        <v>102</v>
      </c>
      <c r="B103" s="3" t="inlineStr">
        <is>
          <t>AMD Helios and Open Rack Wide</t>
        </is>
      </c>
      <c r="C103" s="3" t="inlineStr">
        <is>
          <t>MI455X</t>
        </is>
      </c>
      <c r="D103" s="3" t="inlineStr">
        <is>
          <t>11. AI Hardware, Interconnect and Datacenter Standards</t>
        </is>
      </c>
      <c r="E103" s="3" t="n">
        <v>2026</v>
      </c>
      <c r="F103" s="3" t="n">
        <v>2026</v>
      </c>
      <c r="G103" s="3" t="inlineStr">
        <is>
          <t>New in 2026</t>
        </is>
      </c>
      <c r="H103" s="3" t="inlineStr">
        <is>
          <t>Intermediate</t>
        </is>
      </c>
      <c r="I103" s="3" t="inlineStr"/>
      <c r="J103" s="3" t="inlineStr"/>
      <c r="K103" s="3" t="inlineStr"/>
      <c r="L103" s="3" t="inlineStr"/>
      <c r="M103" s="3" t="inlineStr">
        <is>
          <t>Yes</t>
        </is>
      </c>
      <c r="N103" s="3" t="inlineStr"/>
      <c r="O103" s="3" t="inlineStr"/>
      <c r="P103" s="3" t="inlineStr"/>
      <c r="Q103" s="3" t="inlineStr">
        <is>
          <t>AMD's rack-scale platform built on the Open Rack Wide standard co-submitted with Meta to OCP, pairing MI455X GPUs (432 GB HBM4 each) with EPYC Venice CPUs.</t>
        </is>
      </c>
      <c r="R103" s="3" t="inlineStr">
        <is>
          <t>• Competes on memory capacity rather than raw FLOPs.
• Large 2026 deployments announced with OpenAI and Oracle.</t>
        </is>
      </c>
      <c r="S103" s="3" t="inlineStr"/>
      <c r="T103" s="3" t="n">
        <v>2</v>
      </c>
    </row>
    <row r="104">
      <c r="A104" s="3" t="n">
        <v>103</v>
      </c>
      <c r="B104" s="3" t="inlineStr">
        <is>
          <t>Scale-up vs. scale-out networking</t>
        </is>
      </c>
      <c r="C104" s="3" t="inlineStr"/>
      <c r="D104" s="3" t="inlineStr">
        <is>
          <t>11. AI Hardware, Interconnect and Datacenter Standards</t>
        </is>
      </c>
      <c r="E104" s="3" t="n">
        <v>2024</v>
      </c>
      <c r="F104" s="3" t="n">
        <v>2026</v>
      </c>
      <c r="G104" s="3" t="inlineStr">
        <is>
          <t>Active in 2026</t>
        </is>
      </c>
      <c r="H104" s="3" t="inlineStr">
        <is>
          <t>Intermediate</t>
        </is>
      </c>
      <c r="I104" s="3" t="inlineStr">
        <is>
          <t>Yes</t>
        </is>
      </c>
      <c r="J104" s="3" t="inlineStr"/>
      <c r="K104" s="3" t="inlineStr"/>
      <c r="L104" s="3" t="inlineStr"/>
      <c r="M104" s="3" t="inlineStr"/>
      <c r="N104" s="3" t="inlineStr"/>
      <c r="O104" s="3" t="inlineStr"/>
      <c r="P104" s="3" t="inlineStr"/>
      <c r="Q104" s="3" t="inlineStr">
        <is>
          <t>Scale-up links accelerators inside a pod with memory-semantic, sub-microsecond links; scale-out connects pods over Ethernet or InfiniBand.</t>
        </is>
      </c>
      <c r="R104" s="3" t="inlineStr">
        <is>
          <t>• Scale-up carries tensor and expert parallel traffic.
• Scale-out carries data-parallel gradients and inter-pod traffic.</t>
        </is>
      </c>
      <c r="S104" s="3" t="inlineStr"/>
      <c r="T104" s="3" t="n">
        <v>1</v>
      </c>
    </row>
    <row r="105">
      <c r="A105" s="3" t="n">
        <v>104</v>
      </c>
      <c r="B105" s="3" t="inlineStr">
        <is>
          <t>UALink</t>
        </is>
      </c>
      <c r="C105" s="3" t="inlineStr">
        <is>
          <t>Ultra Accelerator Link</t>
        </is>
      </c>
      <c r="D105" s="3" t="inlineStr">
        <is>
          <t>11. AI Hardware, Interconnect and Datacenter Standards</t>
        </is>
      </c>
      <c r="E105" s="3" t="n">
        <v>2024</v>
      </c>
      <c r="F105" s="3" t="n">
        <v>2026</v>
      </c>
      <c r="G105" s="3" t="inlineStr">
        <is>
          <t>Active in 2026</t>
        </is>
      </c>
      <c r="H105" s="3" t="inlineStr">
        <is>
          <t>Intermediate</t>
        </is>
      </c>
      <c r="I105" s="3" t="inlineStr"/>
      <c r="J105" s="3" t="inlineStr"/>
      <c r="K105" s="3" t="inlineStr"/>
      <c r="L105" s="3" t="inlineStr"/>
      <c r="M105" s="3" t="inlineStr">
        <is>
          <t>Yes</t>
        </is>
      </c>
      <c r="N105" s="3" t="inlineStr"/>
      <c r="O105" s="3" t="inlineStr"/>
      <c r="P105" s="3" t="inlineStr"/>
      <c r="Q105" s="3" t="inlineStr">
        <is>
          <t>An open memory-semantic interconnect for pods of up to 1,024 accelerators, backed by AMD, Google, Microsoft, Meta, AWS and 100+ members.</t>
        </is>
      </c>
      <c r="R105" s="3" t="inlineStr">
        <is>
          <t>• UALink 200G 1.0 (April 2025); version 2.0 published April 2026.
• First UALink switches targeted late 2026.</t>
        </is>
      </c>
      <c r="S105" s="3" t="inlineStr"/>
      <c r="T105" s="3" t="n">
        <v>3</v>
      </c>
    </row>
    <row r="106">
      <c r="A106" s="3" t="n">
        <v>105</v>
      </c>
      <c r="B106" s="3" t="inlineStr">
        <is>
          <t>ESUN and SUE</t>
        </is>
      </c>
      <c r="C106" s="3" t="inlineStr">
        <is>
          <t>Ethernet for Scale-Up Networking</t>
        </is>
      </c>
      <c r="D106" s="3" t="inlineStr">
        <is>
          <t>11. AI Hardware, Interconnect and Datacenter Standards</t>
        </is>
      </c>
      <c r="E106" s="3" t="n">
        <v>2025</v>
      </c>
      <c r="F106" s="3" t="n">
        <v>2026</v>
      </c>
      <c r="G106" s="3" t="inlineStr">
        <is>
          <t>Active in 2026</t>
        </is>
      </c>
      <c r="H106" s="3" t="inlineStr">
        <is>
          <t>Advanced</t>
        </is>
      </c>
      <c r="I106" s="3" t="inlineStr"/>
      <c r="J106" s="3" t="inlineStr"/>
      <c r="K106" s="3" t="inlineStr"/>
      <c r="L106" s="3" t="inlineStr"/>
      <c r="M106" s="3" t="inlineStr">
        <is>
          <t>Yes</t>
        </is>
      </c>
      <c r="N106" s="3" t="inlineStr"/>
      <c r="O106" s="3" t="inlineStr"/>
      <c r="P106" s="3" t="inlineStr"/>
      <c r="Q106" s="3" t="inlineStr">
        <is>
          <t>An OCP workstream (October 2025) standardising Ethernet's lower layers for scale-up AI; Broadcom's SUE evolved into a transport that sits on top.</t>
        </is>
      </c>
      <c r="R106" s="3" t="inlineStr">
        <is>
          <t>• Backed by AMD, Arista, ARM, Broadcom, Cisco, HPE, Marvell, Meta, Microsoft, NVIDIA, OpenAI and Oracle.</t>
        </is>
      </c>
      <c r="S106" s="3" t="inlineStr"/>
      <c r="T106" s="3" t="n">
        <v>3</v>
      </c>
    </row>
    <row r="107">
      <c r="A107" s="3" t="n">
        <v>106</v>
      </c>
      <c r="B107" s="3" t="inlineStr">
        <is>
          <t>Ultra Ethernet</t>
        </is>
      </c>
      <c r="C107" s="3" t="inlineStr">
        <is>
          <t>UEC</t>
        </is>
      </c>
      <c r="D107" s="3" t="inlineStr">
        <is>
          <t>11. AI Hardware, Interconnect and Datacenter Standards</t>
        </is>
      </c>
      <c r="E107" s="3" t="n">
        <v>2023</v>
      </c>
      <c r="F107" s="3" t="n">
        <v>2026</v>
      </c>
      <c r="G107" s="3" t="inlineStr">
        <is>
          <t>Active in 2026</t>
        </is>
      </c>
      <c r="H107" s="3" t="inlineStr">
        <is>
          <t>Advanced</t>
        </is>
      </c>
      <c r="I107" s="3" t="inlineStr"/>
      <c r="J107" s="3" t="inlineStr"/>
      <c r="K107" s="3" t="inlineStr"/>
      <c r="L107" s="3" t="inlineStr"/>
      <c r="M107" s="3" t="inlineStr">
        <is>
          <t>Yes</t>
        </is>
      </c>
      <c r="N107" s="3" t="inlineStr"/>
      <c r="O107" s="3" t="inlineStr"/>
      <c r="P107" s="3" t="inlineStr"/>
      <c r="Q107" s="3" t="inlineStr">
        <is>
          <t>A consortium spec modernising Ethernet transport (packet spraying, congestion control, telemetry) for scale-out AI.</t>
        </is>
      </c>
      <c r="R107" s="3" t="inlineStr">
        <is>
          <t>• UEC 1.0 specification released in 2025.
• Targets InfiniBand-class performance on Ethernet.</t>
        </is>
      </c>
      <c r="S107" s="3" t="inlineStr"/>
      <c r="T107" s="3" t="n">
        <v>1</v>
      </c>
    </row>
    <row r="108">
      <c r="A108" s="3" t="n">
        <v>107</v>
      </c>
      <c r="B108" s="3" t="inlineStr">
        <is>
          <t>NVLink and NVLink Fusion</t>
        </is>
      </c>
      <c r="C108" s="3" t="inlineStr"/>
      <c r="D108" s="3" t="inlineStr">
        <is>
          <t>11. AI Hardware, Interconnect and Datacenter Standards</t>
        </is>
      </c>
      <c r="E108" s="3" t="n">
        <v>2016</v>
      </c>
      <c r="F108" s="3" t="n">
        <v>2026</v>
      </c>
      <c r="G108" s="3" t="inlineStr">
        <is>
          <t>Active in 2026</t>
        </is>
      </c>
      <c r="H108" s="3" t="inlineStr">
        <is>
          <t>Intermediate</t>
        </is>
      </c>
      <c r="I108" s="3" t="inlineStr"/>
      <c r="J108" s="3" t="inlineStr"/>
      <c r="K108" s="3" t="inlineStr"/>
      <c r="L108" s="3" t="inlineStr"/>
      <c r="M108" s="3" t="inlineStr"/>
      <c r="N108" s="3" t="inlineStr"/>
      <c r="O108" s="3" t="inlineStr"/>
      <c r="P108" s="3" t="inlineStr"/>
      <c r="Q108" s="3" t="inlineStr">
        <is>
          <t>NVIDIA's proprietary scale-up fabric, licensed through NVLink Fusion to third-party CPUs and accelerators.</t>
        </is>
      </c>
      <c r="R108" s="3" t="inlineStr">
        <is>
          <t>• NVLink switches give all-to-all bandwidth inside a rack.
• Fusion opens the fabric to custom silicon partners.</t>
        </is>
      </c>
      <c r="S108" s="3" t="inlineStr">
        <is>
          <t>NVLink 6 ships with Rubin.</t>
        </is>
      </c>
      <c r="T108" s="3" t="n">
        <v>1</v>
      </c>
    </row>
    <row r="109">
      <c r="A109" s="3" t="n">
        <v>108</v>
      </c>
      <c r="B109" s="3" t="inlineStr">
        <is>
          <t>CXL, PCIe and UCIe</t>
        </is>
      </c>
      <c r="C109" s="3" t="inlineStr"/>
      <c r="D109" s="3" t="inlineStr">
        <is>
          <t>11. AI Hardware, Interconnect and Datacenter Standards</t>
        </is>
      </c>
      <c r="E109" s="3" t="n">
        <v>2019</v>
      </c>
      <c r="F109" s="3" t="n">
        <v>2026</v>
      </c>
      <c r="G109" s="3" t="inlineStr">
        <is>
          <t>Active in 2026</t>
        </is>
      </c>
      <c r="H109" s="3" t="inlineStr">
        <is>
          <t>Advanced</t>
        </is>
      </c>
      <c r="I109" s="3" t="inlineStr"/>
      <c r="J109" s="3" t="inlineStr"/>
      <c r="K109" s="3" t="inlineStr"/>
      <c r="L109" s="3" t="inlineStr"/>
      <c r="M109" s="3" t="inlineStr">
        <is>
          <t>Yes</t>
        </is>
      </c>
      <c r="N109" s="3" t="inlineStr"/>
      <c r="O109" s="3" t="inlineStr"/>
      <c r="P109" s="3" t="inlineStr"/>
      <c r="Q109" s="3" t="inlineStr">
        <is>
          <t>Coherent memory pooling (CXL), host I/O (PCIe) and chiplet die-to-die links (UCIe).</t>
        </is>
      </c>
      <c r="R109" s="3" t="inlineStr">
        <is>
          <t>• CXL memory expansion adds capacity for KV caches and embeddings.
• UCIe lets vendors mix chiplets from different sources.</t>
        </is>
      </c>
      <c r="S109" s="3" t="inlineStr"/>
      <c r="T109" s="3" t="n">
        <v>3</v>
      </c>
    </row>
    <row r="110">
      <c r="A110" s="3" t="n">
        <v>109</v>
      </c>
      <c r="B110" s="3" t="inlineStr">
        <is>
          <t>High-bandwidth memory</t>
        </is>
      </c>
      <c r="C110" s="3" t="inlineStr">
        <is>
          <t>HBM3E, HBM4</t>
        </is>
      </c>
      <c r="D110" s="3" t="inlineStr">
        <is>
          <t>11. AI Hardware, Interconnect and Datacenter Standards</t>
        </is>
      </c>
      <c r="E110" s="3" t="n">
        <v>2013</v>
      </c>
      <c r="F110" s="3" t="n">
        <v>2026</v>
      </c>
      <c r="G110" s="3" t="inlineStr">
        <is>
          <t>Active in 2026</t>
        </is>
      </c>
      <c r="H110" s="3" t="inlineStr">
        <is>
          <t>Intermediate</t>
        </is>
      </c>
      <c r="I110" s="3" t="inlineStr"/>
      <c r="J110" s="3" t="inlineStr"/>
      <c r="K110" s="3" t="inlineStr"/>
      <c r="L110" s="3" t="inlineStr"/>
      <c r="M110" s="3" t="inlineStr"/>
      <c r="N110" s="3" t="inlineStr"/>
      <c r="O110" s="3" t="inlineStr"/>
      <c r="P110" s="3" t="inlineStr"/>
      <c r="Q110" s="3" t="inlineStr">
        <is>
          <t>Stacked DRAM beside the accelerator; capacity and bandwidth usually limit decoding speed more than FLOPs.</t>
        </is>
      </c>
      <c r="R110" s="3" t="inlineStr">
        <is>
          <t>• HBM4 doubles interface width versus HBM3.
• HBM supply is a key constraint on accelerator shipments.</t>
        </is>
      </c>
      <c r="S110" s="3" t="inlineStr">
        <is>
          <t>HBM4 arrived in 2026 with Rubin and MI455X; HBM4E is on 2027 roadmaps.</t>
        </is>
      </c>
      <c r="T110" s="3" t="n">
        <v>1</v>
      </c>
    </row>
    <row r="111">
      <c r="A111" s="3" t="n">
        <v>110</v>
      </c>
      <c r="B111" s="3" t="inlineStr">
        <is>
          <t>Advanced packaging</t>
        </is>
      </c>
      <c r="C111" s="3" t="inlineStr">
        <is>
          <t>CoWoS</t>
        </is>
      </c>
      <c r="D111" s="3" t="inlineStr">
        <is>
          <t>11. AI Hardware, Interconnect and Datacenter Standards</t>
        </is>
      </c>
      <c r="E111" s="3" t="n">
        <v>2012</v>
      </c>
      <c r="F111" s="3" t="n">
        <v>2026</v>
      </c>
      <c r="G111" s="3" t="inlineStr">
        <is>
          <t>Active in 2026</t>
        </is>
      </c>
      <c r="H111" s="3" t="inlineStr">
        <is>
          <t>Advanced</t>
        </is>
      </c>
      <c r="I111" s="3" t="inlineStr"/>
      <c r="J111" s="3" t="inlineStr"/>
      <c r="K111" s="3" t="inlineStr"/>
      <c r="L111" s="3" t="inlineStr"/>
      <c r="M111" s="3" t="inlineStr"/>
      <c r="N111" s="3" t="inlineStr"/>
      <c r="O111" s="3" t="inlineStr"/>
      <c r="P111" s="3" t="inlineStr"/>
      <c r="Q111" s="3" t="inlineStr">
        <is>
          <t>2.5D/3D packaging that places compute dies and HBM on a shared interposer; a recurring supply bottleneck.</t>
        </is>
      </c>
      <c r="R111" s="3" t="inlineStr">
        <is>
          <t>• Interposer size limits how much HBM fits beside a die.
• Packaging capacity expansions track AI demand closely.</t>
        </is>
      </c>
      <c r="S111" s="3" t="inlineStr"/>
      <c r="T111" s="3" t="n">
        <v>1</v>
      </c>
    </row>
    <row r="112">
      <c r="A112" s="3" t="n">
        <v>111</v>
      </c>
      <c r="B112" s="3" t="inlineStr">
        <is>
          <t>Co-packaged optics</t>
        </is>
      </c>
      <c r="C112" s="3" t="inlineStr">
        <is>
          <t>CPO</t>
        </is>
      </c>
      <c r="D112" s="3" t="inlineStr">
        <is>
          <t>11. AI Hardware, Interconnect and Datacenter Standards</t>
        </is>
      </c>
      <c r="E112" s="3" t="n">
        <v>2025</v>
      </c>
      <c r="F112" s="3" t="n">
        <v>2026</v>
      </c>
      <c r="G112" s="3" t="inlineStr">
        <is>
          <t>Active in 2026</t>
        </is>
      </c>
      <c r="H112" s="3" t="inlineStr">
        <is>
          <t>Advanced</t>
        </is>
      </c>
      <c r="I112" s="3" t="inlineStr"/>
      <c r="J112" s="3" t="inlineStr"/>
      <c r="K112" s="3" t="inlineStr"/>
      <c r="L112" s="3" t="inlineStr"/>
      <c r="M112" s="3" t="inlineStr"/>
      <c r="N112" s="3" t="inlineStr"/>
      <c r="O112" s="3" t="inlineStr"/>
      <c r="P112" s="3" t="inlineStr"/>
      <c r="Q112" s="3" t="inlineStr">
        <is>
          <t>Optical transceivers moved into the switch package to cut power and raise bandwidth.</t>
        </is>
      </c>
      <c r="R112" s="3" t="inlineStr">
        <is>
          <t>• Shorter electrical paths mean lower power per bit.
• Early deployment in switches; accelerators later.</t>
        </is>
      </c>
      <c r="S112" s="3" t="inlineStr"/>
      <c r="T112" s="3" t="n">
        <v>1</v>
      </c>
    </row>
    <row r="113">
      <c r="A113" s="3" t="n">
        <v>112</v>
      </c>
      <c r="B113" s="3" t="inlineStr">
        <is>
          <t>Custom accelerators</t>
        </is>
      </c>
      <c r="C113" s="3" t="inlineStr">
        <is>
          <t>TPU, Trainium, MTIA</t>
        </is>
      </c>
      <c r="D113" s="3" t="inlineStr">
        <is>
          <t>11. AI Hardware, Interconnect and Datacenter Standards</t>
        </is>
      </c>
      <c r="E113" s="3" t="n">
        <v>2016</v>
      </c>
      <c r="F113" s="3" t="n">
        <v>2026</v>
      </c>
      <c r="G113" s="3" t="inlineStr">
        <is>
          <t>Active in 2026</t>
        </is>
      </c>
      <c r="H113" s="3" t="inlineStr">
        <is>
          <t>Intermediate</t>
        </is>
      </c>
      <c r="I113" s="3" t="inlineStr"/>
      <c r="J113" s="3" t="inlineStr"/>
      <c r="K113" s="3" t="inlineStr"/>
      <c r="L113" s="3" t="inlineStr"/>
      <c r="M113" s="3" t="inlineStr"/>
      <c r="N113" s="3" t="inlineStr"/>
      <c r="O113" s="3" t="inlineStr"/>
      <c r="P113" s="3" t="inlineStr"/>
      <c r="Q113" s="3" t="inlineStr">
        <is>
          <t>Hyperscaler and challenger chips competing with GPUs, often optimised for inference.</t>
        </is>
      </c>
      <c r="R113" s="3" t="inlineStr">
        <is>
          <t>• Hyperscalers design chips for their own inference fleets.
• Software ecosystem maturity is the main adoption hurdle.</t>
        </is>
      </c>
      <c r="S113" s="3" t="inlineStr"/>
      <c r="T113" s="3" t="n">
        <v>4</v>
      </c>
    </row>
    <row r="114">
      <c r="A114" s="3" t="n">
        <v>113</v>
      </c>
      <c r="B114" s="3" t="inlineStr">
        <is>
          <t>AI factories, power and cooling</t>
        </is>
      </c>
      <c r="C114" s="3" t="inlineStr">
        <is>
          <t>800 VDC</t>
        </is>
      </c>
      <c r="D114" s="3" t="inlineStr">
        <is>
          <t>11. AI Hardware, Interconnect and Datacenter Standards</t>
        </is>
      </c>
      <c r="E114" s="3" t="n">
        <v>2024</v>
      </c>
      <c r="F114" s="3" t="n">
        <v>2026</v>
      </c>
      <c r="G114" s="3" t="inlineStr">
        <is>
          <t>Active in 2026</t>
        </is>
      </c>
      <c r="H114" s="3" t="inlineStr">
        <is>
          <t>Intermediate</t>
        </is>
      </c>
      <c r="I114" s="3" t="inlineStr"/>
      <c r="J114" s="3" t="inlineStr"/>
      <c r="K114" s="3" t="inlineStr"/>
      <c r="L114" s="3" t="inlineStr"/>
      <c r="M114" s="3" t="inlineStr"/>
      <c r="N114" s="3" t="inlineStr"/>
      <c r="O114" s="3" t="inlineStr"/>
      <c r="P114" s="3" t="inlineStr"/>
      <c r="Q114" s="3" t="inlineStr">
        <is>
          <t>Gigawatt-scale datacenters with direct liquid cooling and higher-voltage DC power; power is now a primary constraint.</t>
        </is>
      </c>
      <c r="R114" s="3" t="inlineStr">
        <is>
          <t>• Racks exceed 100 kW; next-gen racks approach 600 kW.
• Grid access and power purchase deals shape site selection.</t>
        </is>
      </c>
      <c r="S114" s="3" t="inlineStr"/>
      <c r="T114" s="3" t="n">
        <v>3</v>
      </c>
    </row>
    <row r="115">
      <c r="A115" s="3" t="n">
        <v>114</v>
      </c>
      <c r="B115" s="3" t="inlineStr">
        <is>
          <t>Kernel languages and compilers</t>
        </is>
      </c>
      <c r="C115" s="3" t="inlineStr">
        <is>
          <t>Triton, CUTLASS, ROCm, XLA</t>
        </is>
      </c>
      <c r="D115" s="3" t="inlineStr">
        <is>
          <t>11. AI Hardware, Interconnect and Datacenter Standards</t>
        </is>
      </c>
      <c r="E115" s="3" t="n">
        <v>2019</v>
      </c>
      <c r="F115" s="3" t="n">
        <v>2026</v>
      </c>
      <c r="G115" s="3" t="inlineStr">
        <is>
          <t>Active in 2026</t>
        </is>
      </c>
      <c r="H115" s="3" t="inlineStr">
        <is>
          <t>Advanced</t>
        </is>
      </c>
      <c r="I115" s="3" t="inlineStr"/>
      <c r="J115" s="3" t="inlineStr"/>
      <c r="K115" s="3" t="inlineStr"/>
      <c r="L115" s="3" t="inlineStr">
        <is>
          <t>Yes</t>
        </is>
      </c>
      <c r="M115" s="3" t="inlineStr"/>
      <c r="N115" s="3" t="inlineStr"/>
      <c r="O115" s="3" t="inlineStr"/>
      <c r="P115" s="3" t="inlineStr"/>
      <c r="Q115" s="3" t="inlineStr">
        <is>
          <t>Tools for writing fast accelerator code without raw CUDA, and portable compilers.</t>
        </is>
      </c>
      <c r="R115" s="3" t="inlineStr">
        <is>
          <t>• Triton makes GPU kernels writable in Python-like code.
• Portable stacks reduce lock-in to one vendor.</t>
        </is>
      </c>
      <c r="S115" s="3" t="inlineStr"/>
      <c r="T115" s="3" t="n">
        <v>7</v>
      </c>
    </row>
    <row r="116">
      <c r="A116" s="3" t="n">
        <v>115</v>
      </c>
      <c r="B116" s="3" t="inlineStr">
        <is>
          <t>Collective communication</t>
        </is>
      </c>
      <c r="C116" s="3" t="inlineStr">
        <is>
          <t>NCCL</t>
        </is>
      </c>
      <c r="D116" s="3" t="inlineStr">
        <is>
          <t>11. AI Hardware, Interconnect and Datacenter Standards</t>
        </is>
      </c>
      <c r="E116" s="3" t="n">
        <v>2016</v>
      </c>
      <c r="F116" s="3" t="n">
        <v>2026</v>
      </c>
      <c r="G116" s="3" t="inlineStr">
        <is>
          <t>Active in 2026</t>
        </is>
      </c>
      <c r="H116" s="3" t="inlineStr">
        <is>
          <t>Advanced</t>
        </is>
      </c>
      <c r="I116" s="3" t="inlineStr"/>
      <c r="J116" s="3" t="inlineStr"/>
      <c r="K116" s="3" t="inlineStr"/>
      <c r="L116" s="3" t="inlineStr"/>
      <c r="M116" s="3" t="inlineStr"/>
      <c r="N116" s="3" t="inlineStr"/>
      <c r="O116" s="3" t="inlineStr"/>
      <c r="P116" s="3" t="inlineStr"/>
      <c r="Q116" s="3" t="inlineStr">
        <is>
          <t>Libraries for all-reduce, all-gather and all-to-all across GPUs.</t>
        </is>
      </c>
      <c r="R116" s="3" t="inlineStr">
        <is>
          <t>• Topology-aware algorithms (rings, trees) matter at scale.
• MoE all-to-all is latency-sensitive.</t>
        </is>
      </c>
      <c r="S116" s="3" t="inlineStr"/>
      <c r="T116" s="3" t="n">
        <v>2</v>
      </c>
    </row>
    <row r="117">
      <c r="A117" s="3" t="n">
        <v>116</v>
      </c>
      <c r="B117" s="3" t="inlineStr">
        <is>
          <t>Model interchange formats</t>
        </is>
      </c>
      <c r="C117" s="3" t="inlineStr">
        <is>
          <t>ONNX, safetensors</t>
        </is>
      </c>
      <c r="D117" s="3" t="inlineStr">
        <is>
          <t>11. AI Hardware, Interconnect and Datacenter Standards</t>
        </is>
      </c>
      <c r="E117" s="3" t="n">
        <v>2017</v>
      </c>
      <c r="F117" s="3" t="n">
        <v>2025</v>
      </c>
      <c r="G117" s="3" t="inlineStr">
        <is>
          <t>Established</t>
        </is>
      </c>
      <c r="H117" s="3" t="inlineStr">
        <is>
          <t>Beginner</t>
        </is>
      </c>
      <c r="I117" s="3" t="inlineStr"/>
      <c r="J117" s="3" t="inlineStr"/>
      <c r="K117" s="3" t="inlineStr"/>
      <c r="L117" s="3" t="inlineStr"/>
      <c r="M117" s="3" t="inlineStr">
        <is>
          <t>Yes</t>
        </is>
      </c>
      <c r="N117" s="3" t="inlineStr"/>
      <c r="O117" s="3" t="inlineStr"/>
      <c r="P117" s="3" t="inlineStr"/>
      <c r="Q117" s="3" t="inlineStr">
        <is>
          <t>Standard, safe formats for moving models between frameworks; safetensors avoids pickle code execution.</t>
        </is>
      </c>
      <c r="R117" s="3" t="inlineStr">
        <is>
          <t>• ONNX targets cross-runtime deployment.
• safetensors is the default on Hugging Face.</t>
        </is>
      </c>
      <c r="S117" s="3" t="inlineStr"/>
      <c r="T117" s="3" t="n">
        <v>2</v>
      </c>
    </row>
    <row r="118">
      <c r="A118" s="3" t="n">
        <v>117</v>
      </c>
      <c r="B118" s="3" t="inlineStr">
        <is>
          <t>Hardware benchmarks</t>
        </is>
      </c>
      <c r="C118" s="3" t="inlineStr">
        <is>
          <t>MLPerf</t>
        </is>
      </c>
      <c r="D118" s="3" t="inlineStr">
        <is>
          <t>11. AI Hardware, Interconnect and Datacenter Standards</t>
        </is>
      </c>
      <c r="E118" s="3" t="n">
        <v>2018</v>
      </c>
      <c r="F118" s="3" t="n">
        <v>2026</v>
      </c>
      <c r="G118" s="3" t="inlineStr">
        <is>
          <t>Active in 2026</t>
        </is>
      </c>
      <c r="H118" s="3" t="inlineStr">
        <is>
          <t>Beginner</t>
        </is>
      </c>
      <c r="I118" s="3" t="inlineStr"/>
      <c r="J118" s="3" t="inlineStr"/>
      <c r="K118" s="3" t="inlineStr"/>
      <c r="L118" s="3" t="inlineStr"/>
      <c r="M118" s="3" t="inlineStr"/>
      <c r="N118" s="3" t="inlineStr"/>
      <c r="O118" s="3" t="inlineStr"/>
      <c r="P118" s="3" t="inlineStr"/>
      <c r="Q118" s="3" t="inlineStr">
        <is>
          <t>Industry-standard training and inference benchmarks.</t>
        </is>
      </c>
      <c r="R118" s="3" t="inlineStr">
        <is>
          <t>• Compare systems on the same model and accuracy target.
• Vendor-submitted; read the fine print on configurations.</t>
        </is>
      </c>
      <c r="S118" s="3" t="inlineStr"/>
      <c r="T118" s="3" t="n">
        <v>2</v>
      </c>
    </row>
    <row r="119">
      <c r="A119" s="3" t="n">
        <v>118</v>
      </c>
      <c r="B119" s="3" t="inlineStr">
        <is>
          <t>VLM architecture</t>
        </is>
      </c>
      <c r="C119" s="3" t="inlineStr"/>
      <c r="D119" s="3" t="inlineStr">
        <is>
          <t>12. Vision-Language and Multimodal Models</t>
        </is>
      </c>
      <c r="E119" s="3" t="n">
        <v>2023</v>
      </c>
      <c r="F119" s="3" t="n">
        <v>2026</v>
      </c>
      <c r="G119" s="3" t="inlineStr">
        <is>
          <t>Active in 2026</t>
        </is>
      </c>
      <c r="H119" s="3" t="inlineStr">
        <is>
          <t>Beginner</t>
        </is>
      </c>
      <c r="I119" s="3" t="inlineStr">
        <is>
          <t>Yes</t>
        </is>
      </c>
      <c r="J119" s="3" t="inlineStr"/>
      <c r="K119" s="3" t="inlineStr"/>
      <c r="L119" s="3" t="inlineStr"/>
      <c r="M119" s="3" t="inlineStr"/>
      <c r="N119" s="3" t="inlineStr"/>
      <c r="O119" s="3" t="inlineStr"/>
      <c r="P119" s="3" t="inlineStr"/>
      <c r="Q119" s="3" t="inlineStr">
        <is>
          <t>A vision encoder turns image patches into tokens, a projector maps them into the LLM space, and the LLM reasons over both. Native multimodal models train everything jointly.</t>
        </is>
      </c>
      <c r="R119" s="3" t="inlineStr">
        <is>
          <t>• Visual token count drives cost: compress or pool where possible.
• Training stages: alignment, instruction tuning, then RL.</t>
        </is>
      </c>
      <c r="S119" s="3" t="inlineStr"/>
      <c r="T119" s="3" t="n">
        <v>3</v>
      </c>
    </row>
    <row r="120">
      <c r="A120" s="3" t="n">
        <v>119</v>
      </c>
      <c r="B120" s="3" t="inlineStr">
        <is>
          <t>Open VLM families</t>
        </is>
      </c>
      <c r="C120" s="3" t="inlineStr"/>
      <c r="D120" s="3" t="inlineStr">
        <is>
          <t>12. Vision-Language and Multimodal Models</t>
        </is>
      </c>
      <c r="E120" s="3" t="n">
        <v>2024</v>
      </c>
      <c r="F120" s="3" t="n">
        <v>2026</v>
      </c>
      <c r="G120" s="3" t="inlineStr">
        <is>
          <t>Active in 2026</t>
        </is>
      </c>
      <c r="H120" s="3" t="inlineStr">
        <is>
          <t>Beginner</t>
        </is>
      </c>
      <c r="I120" s="3" t="inlineStr"/>
      <c r="J120" s="3" t="inlineStr"/>
      <c r="K120" s="3" t="inlineStr"/>
      <c r="L120" s="3" t="inlineStr">
        <is>
          <t>Yes</t>
        </is>
      </c>
      <c r="M120" s="3" t="inlineStr"/>
      <c r="N120" s="3" t="inlineStr"/>
      <c r="O120" s="3" t="inlineStr"/>
      <c r="P120" s="3" t="inlineStr"/>
      <c r="Q120" s="3" t="inlineStr">
        <is>
          <t>Open-weight VLMs for images, documents and video, including small on-device models.</t>
        </is>
      </c>
      <c r="R120" s="3" t="inlineStr">
        <is>
          <t>• Check licence, context length and video support.
• Evaluate on your own documents and images.</t>
        </is>
      </c>
      <c r="S120" s="3" t="inlineStr">
        <is>
          <t>Closed models (Gemini, GPT, Claude) still top leaderboards; Qwen-VL, InternVL and Gemma 4 (April 2026, vision in every size) lead open options.</t>
        </is>
      </c>
      <c r="T120" s="3" t="n">
        <v>4</v>
      </c>
    </row>
    <row r="121">
      <c r="A121" s="3" t="n">
        <v>120</v>
      </c>
      <c r="B121" s="3" t="inlineStr">
        <is>
          <t>Native and dynamic resolution</t>
        </is>
      </c>
      <c r="C121" s="3" t="inlineStr"/>
      <c r="D121" s="3" t="inlineStr">
        <is>
          <t>12. Vision-Language and Multimodal Models</t>
        </is>
      </c>
      <c r="E121" s="3" t="n">
        <v>2023</v>
      </c>
      <c r="F121" s="3" t="n">
        <v>2025</v>
      </c>
      <c r="G121" s="3" t="inlineStr">
        <is>
          <t>Established</t>
        </is>
      </c>
      <c r="H121" s="3" t="inlineStr">
        <is>
          <t>Intermediate</t>
        </is>
      </c>
      <c r="I121" s="3" t="inlineStr"/>
      <c r="J121" s="3" t="inlineStr"/>
      <c r="K121" s="3" t="inlineStr"/>
      <c r="L121" s="3" t="inlineStr"/>
      <c r="M121" s="3" t="inlineStr"/>
      <c r="N121" s="3" t="inlineStr"/>
      <c r="O121" s="3" t="inlineStr"/>
      <c r="P121" s="3" t="inlineStr"/>
      <c r="Q121" s="3" t="inlineStr">
        <is>
          <t>Handle images at their original aspect ratio and resolution by tiling or packing variable patch counts.</t>
        </is>
      </c>
      <c r="R121" s="3" t="inlineStr">
        <is>
          <t>• Critical for small text, charts and screenshots.
• Token budget caps keep large images affordable.</t>
        </is>
      </c>
      <c r="S121" s="3" t="inlineStr"/>
      <c r="T121" s="3" t="n">
        <v>1</v>
      </c>
    </row>
    <row r="122">
      <c r="A122" s="3" t="n">
        <v>121</v>
      </c>
      <c r="B122" s="3" t="inlineStr">
        <is>
          <t>Thinking with images</t>
        </is>
      </c>
      <c r="C122" s="3" t="inlineStr"/>
      <c r="D122" s="3" t="inlineStr">
        <is>
          <t>12. Vision-Language and Multimodal Models</t>
        </is>
      </c>
      <c r="E122" s="3" t="n">
        <v>2025</v>
      </c>
      <c r="F122" s="3" t="n">
        <v>2026</v>
      </c>
      <c r="G122" s="3" t="inlineStr">
        <is>
          <t>Active in 2026</t>
        </is>
      </c>
      <c r="H122" s="3" t="inlineStr">
        <is>
          <t>Intermediate</t>
        </is>
      </c>
      <c r="I122" s="3" t="inlineStr"/>
      <c r="J122" s="3" t="inlineStr"/>
      <c r="K122" s="3" t="inlineStr"/>
      <c r="L122" s="3" t="inlineStr"/>
      <c r="M122" s="3" t="inlineStr"/>
      <c r="N122" s="3" t="inlineStr"/>
      <c r="O122" s="3" t="inlineStr"/>
      <c r="P122" s="3" t="inlineStr"/>
      <c r="Q122" s="3" t="inlineStr">
        <is>
          <t>Reasoning models that crop, zoom and transform images inside their chain of thought.</t>
        </is>
      </c>
      <c r="R122" s="3" t="inlineStr">
        <is>
          <t>• Tool calls like crop and zoom inside reasoning.
• Improves fine-grained detail questions.</t>
        </is>
      </c>
      <c r="S122" s="3" t="inlineStr"/>
      <c r="T122" s="3" t="n">
        <v>1</v>
      </c>
    </row>
    <row r="123">
      <c r="A123" s="3" t="n">
        <v>122</v>
      </c>
      <c r="B123" s="3" t="inlineStr">
        <is>
          <t>Document AI and VLM-based OCR</t>
        </is>
      </c>
      <c r="C123" s="3" t="inlineStr"/>
      <c r="D123" s="3" t="inlineStr">
        <is>
          <t>12. Vision-Language and Multimodal Models</t>
        </is>
      </c>
      <c r="E123" s="3" t="n">
        <v>2024</v>
      </c>
      <c r="F123" s="3" t="n">
        <v>2026</v>
      </c>
      <c r="G123" s="3" t="inlineStr">
        <is>
          <t>Active in 2026</t>
        </is>
      </c>
      <c r="H123" s="3" t="inlineStr">
        <is>
          <t>Intermediate</t>
        </is>
      </c>
      <c r="I123" s="3" t="inlineStr"/>
      <c r="J123" s="3" t="inlineStr">
        <is>
          <t>Yes</t>
        </is>
      </c>
      <c r="K123" s="3" t="inlineStr"/>
      <c r="L123" s="3" t="inlineStr">
        <is>
          <t>Yes</t>
        </is>
      </c>
      <c r="M123" s="3" t="inlineStr"/>
      <c r="N123" s="3" t="inlineStr"/>
      <c r="O123" s="3" t="inlineStr"/>
      <c r="P123" s="3" t="inlineStr"/>
      <c r="Q123" s="3" t="inlineStr">
        <is>
          <t>VLMs that convert PDFs and scans into clean Markdown, tables and structure.</t>
        </is>
      </c>
      <c r="R123" s="3" t="inlineStr">
        <is>
          <t>• Outputs Markdown with tables, formulas and reading order.
• Visual token compression can shrink long documents.</t>
        </is>
      </c>
      <c r="S123" s="3" t="inlineStr"/>
      <c r="T123" s="3" t="n">
        <v>4</v>
      </c>
    </row>
    <row r="124">
      <c r="A124" s="3" t="n">
        <v>123</v>
      </c>
      <c r="B124" s="3" t="inlineStr">
        <is>
          <t>Visual document retrieval</t>
        </is>
      </c>
      <c r="C124" s="3" t="inlineStr">
        <is>
          <t>ColPali</t>
        </is>
      </c>
      <c r="D124" s="3" t="inlineStr">
        <is>
          <t>12. Vision-Language and Multimodal Models</t>
        </is>
      </c>
      <c r="E124" s="3" t="n">
        <v>2024</v>
      </c>
      <c r="F124" s="3" t="n">
        <v>2025</v>
      </c>
      <c r="G124" s="3" t="inlineStr">
        <is>
          <t>Established</t>
        </is>
      </c>
      <c r="H124" s="3" t="inlineStr">
        <is>
          <t>Intermediate</t>
        </is>
      </c>
      <c r="I124" s="3" t="inlineStr"/>
      <c r="J124" s="3" t="inlineStr"/>
      <c r="K124" s="3" t="inlineStr"/>
      <c r="L124" s="3" t="inlineStr"/>
      <c r="M124" s="3" t="inlineStr"/>
      <c r="N124" s="3" t="inlineStr"/>
      <c r="O124" s="3" t="inlineStr"/>
      <c r="P124" s="3" t="inlineStr"/>
      <c r="Q124" s="3" t="inlineStr">
        <is>
          <t>Embed page images directly and retrieve with late interaction, skipping OCR.</t>
        </is>
      </c>
      <c r="R124" s="3" t="inlineStr">
        <is>
          <t>• Handles charts, layouts and scans that OCR mangles.
• Storage cost is higher than single-vector embeddings.</t>
        </is>
      </c>
      <c r="S124" s="3" t="inlineStr"/>
      <c r="T124" s="3" t="n">
        <v>1</v>
      </c>
    </row>
    <row r="125">
      <c r="A125" s="3" t="n">
        <v>124</v>
      </c>
      <c r="B125" s="3" t="inlineStr">
        <is>
          <t>GUI grounding agents</t>
        </is>
      </c>
      <c r="C125" s="3" t="inlineStr"/>
      <c r="D125" s="3" t="inlineStr">
        <is>
          <t>12. Vision-Language and Multimodal Models</t>
        </is>
      </c>
      <c r="E125" s="3" t="n">
        <v>2024</v>
      </c>
      <c r="F125" s="3" t="n">
        <v>2026</v>
      </c>
      <c r="G125" s="3" t="inlineStr">
        <is>
          <t>Active in 2026</t>
        </is>
      </c>
      <c r="H125" s="3" t="inlineStr">
        <is>
          <t>Advanced</t>
        </is>
      </c>
      <c r="I125" s="3" t="inlineStr"/>
      <c r="J125" s="3" t="inlineStr"/>
      <c r="K125" s="3" t="inlineStr"/>
      <c r="L125" s="3" t="inlineStr"/>
      <c r="M125" s="3" t="inlineStr"/>
      <c r="N125" s="3" t="inlineStr"/>
      <c r="O125" s="3" t="inlineStr"/>
      <c r="P125" s="3" t="inlineStr"/>
      <c r="Q125" s="3" t="inlineStr">
        <is>
          <t>VLMs trained to locate UI elements and act on screens.</t>
        </is>
      </c>
      <c r="R125" s="3" t="inlineStr">
        <is>
          <t>• Output click coordinates or element IDs.
• Benchmarks: ScreenSpot, OSWorld.</t>
        </is>
      </c>
      <c r="S125" s="3" t="inlineStr"/>
      <c r="T125" s="3" t="n">
        <v>2</v>
      </c>
    </row>
    <row r="126">
      <c r="A126" s="3" t="n">
        <v>125</v>
      </c>
      <c r="B126" s="3" t="inlineStr">
        <is>
          <t>Omni and speech-to-speech models</t>
        </is>
      </c>
      <c r="C126" s="3" t="inlineStr"/>
      <c r="D126" s="3" t="inlineStr">
        <is>
          <t>12. Vision-Language and Multimodal Models</t>
        </is>
      </c>
      <c r="E126" s="3" t="n">
        <v>2024</v>
      </c>
      <c r="F126" s="3" t="n">
        <v>2026</v>
      </c>
      <c r="G126" s="3" t="inlineStr">
        <is>
          <t>Active in 2026</t>
        </is>
      </c>
      <c r="H126" s="3" t="inlineStr">
        <is>
          <t>Intermediate</t>
        </is>
      </c>
      <c r="I126" s="3" t="inlineStr"/>
      <c r="J126" s="3" t="inlineStr"/>
      <c r="K126" s="3" t="inlineStr"/>
      <c r="L126" s="3" t="inlineStr"/>
      <c r="M126" s="3" t="inlineStr"/>
      <c r="N126" s="3" t="inlineStr"/>
      <c r="O126" s="3" t="inlineStr"/>
      <c r="P126" s="3" t="inlineStr"/>
      <c r="Q126" s="3" t="inlineStr">
        <is>
          <t>Models that take and produce audio natively for low-latency voice agents.</t>
        </is>
      </c>
      <c r="R126" s="3" t="inlineStr">
        <is>
          <t>• End-to-end audio avoids ASR-LLM-TTS latency.
• Barge-in and turn detection are key UX problems.</t>
        </is>
      </c>
      <c r="S126" s="3" t="inlineStr">
        <is>
          <t>2026 omni models handle text, image, video and audio input with 1M-token windows.</t>
        </is>
      </c>
      <c r="T126" s="3" t="n">
        <v>6</v>
      </c>
    </row>
    <row r="127">
      <c r="A127" s="3" t="n">
        <v>126</v>
      </c>
      <c r="B127" s="3" t="inlineStr">
        <is>
          <t>Native image generation and editing</t>
        </is>
      </c>
      <c r="C127" s="3" t="inlineStr"/>
      <c r="D127" s="3" t="inlineStr">
        <is>
          <t>12. Vision-Language and Multimodal Models</t>
        </is>
      </c>
      <c r="E127" s="3" t="n">
        <v>2025</v>
      </c>
      <c r="F127" s="3" t="n">
        <v>2026</v>
      </c>
      <c r="G127" s="3" t="inlineStr">
        <is>
          <t>Active in 2026</t>
        </is>
      </c>
      <c r="H127" s="3" t="inlineStr">
        <is>
          <t>Beginner</t>
        </is>
      </c>
      <c r="I127" s="3" t="inlineStr"/>
      <c r="J127" s="3" t="inlineStr"/>
      <c r="K127" s="3" t="inlineStr"/>
      <c r="L127" s="3" t="inlineStr"/>
      <c r="M127" s="3" t="inlineStr"/>
      <c r="N127" s="3" t="inlineStr"/>
      <c r="O127" s="3" t="inlineStr"/>
      <c r="P127" s="3" t="inlineStr"/>
      <c r="Q127" s="3" t="inlineStr">
        <is>
          <t>LLMs that generate and edit images in the same model with strong text rendering and instruction-following.</t>
        </is>
      </c>
      <c r="R127" s="3" t="inlineStr">
        <is>
          <t>• Autoregressive or hybrid with diffusion decoders.
• Multi-reference editing keeps characters and products consistent.</t>
        </is>
      </c>
      <c r="S127" s="3" t="inlineStr"/>
      <c r="T127" s="3" t="n">
        <v>2</v>
      </c>
    </row>
    <row r="128">
      <c r="A128" s="3" t="n">
        <v>127</v>
      </c>
      <c r="B128" s="3" t="inlineStr">
        <is>
          <t>Multimodal evaluation</t>
        </is>
      </c>
      <c r="C128" s="3" t="inlineStr"/>
      <c r="D128" s="3" t="inlineStr">
        <is>
          <t>12. Vision-Language and Multimodal Models</t>
        </is>
      </c>
      <c r="E128" s="3" t="n">
        <v>2023</v>
      </c>
      <c r="F128" s="3" t="n">
        <v>2026</v>
      </c>
      <c r="G128" s="3" t="inlineStr">
        <is>
          <t>Active in 2026</t>
        </is>
      </c>
      <c r="H128" s="3" t="inlineStr">
        <is>
          <t>Intermediate</t>
        </is>
      </c>
      <c r="I128" s="3" t="inlineStr"/>
      <c r="J128" s="3" t="inlineStr"/>
      <c r="K128" s="3" t="inlineStr"/>
      <c r="L128" s="3" t="inlineStr"/>
      <c r="M128" s="3" t="inlineStr"/>
      <c r="N128" s="3" t="inlineStr"/>
      <c r="O128" s="3" t="inlineStr"/>
      <c r="P128" s="3" t="inlineStr"/>
      <c r="Q128" s="3" t="inlineStr">
        <is>
          <t>Benchmarks and harnesses for reasoning, charts, documents and video.</t>
        </is>
      </c>
      <c r="R128" s="3" t="inlineStr">
        <is>
          <t>• Document, chart, video and grounding need separate evals.
• Contamination is common in popular VQA sets.</t>
        </is>
      </c>
      <c r="S128" s="3" t="inlineStr"/>
      <c r="T128" s="3" t="n">
        <v>3</v>
      </c>
    </row>
    <row r="129">
      <c r="A129" s="3" t="n">
        <v>128</v>
      </c>
      <c r="B129" s="3" t="inlineStr">
        <is>
          <t>Vision-language-action models</t>
        </is>
      </c>
      <c r="C129" s="3" t="inlineStr">
        <is>
          <t>VLA</t>
        </is>
      </c>
      <c r="D129" s="3" t="inlineStr">
        <is>
          <t>13. Embodied AI, World Models and Generative Media</t>
        </is>
      </c>
      <c r="E129" s="3" t="n">
        <v>2023</v>
      </c>
      <c r="F129" s="3" t="n">
        <v>2026</v>
      </c>
      <c r="G129" s="3" t="inlineStr">
        <is>
          <t>Active in 2026</t>
        </is>
      </c>
      <c r="H129" s="3" t="inlineStr">
        <is>
          <t>Intermediate</t>
        </is>
      </c>
      <c r="I129" s="3" t="inlineStr"/>
      <c r="J129" s="3" t="inlineStr"/>
      <c r="K129" s="3" t="inlineStr">
        <is>
          <t>Yes</t>
        </is>
      </c>
      <c r="L129" s="3" t="inlineStr">
        <is>
          <t>Yes</t>
        </is>
      </c>
      <c r="M129" s="3" t="inlineStr"/>
      <c r="N129" s="3" t="inlineStr"/>
      <c r="O129" s="3" t="inlineStr"/>
      <c r="P129" s="3" t="inlineStr"/>
      <c r="Q129" s="3" t="inlineStr">
        <is>
          <t>VLMs extended to output robot actions, trained on cross-embodiment data.</t>
        </is>
      </c>
      <c r="R129" s="3" t="inlineStr">
        <is>
          <t>• Architectures split between dual-system (slow VLM reasoning plus fast action policy), think-then-act, and flow/diffusion action heads.
• Small VLAs (SmolVLA, about 450M parameters) are competitive on many tasks.</t>
        </is>
      </c>
      <c r="S129" s="3" t="inlineStr">
        <is>
          <t>Leading 2026 families: Physical Intelligence pi-series, NVIDIA GR00T N1.7, Gemini Robotics 1.5, Figure Helix.</t>
        </is>
      </c>
      <c r="T129" s="3" t="n">
        <v>5</v>
      </c>
    </row>
    <row r="130">
      <c r="A130" s="3" t="n">
        <v>129</v>
      </c>
      <c r="B130" s="3" t="inlineStr">
        <is>
          <t>World action models</t>
        </is>
      </c>
      <c r="C130" s="3" t="inlineStr">
        <is>
          <t>WAM</t>
        </is>
      </c>
      <c r="D130" s="3" t="inlineStr">
        <is>
          <t>13. Embodied AI, World Models and Generative Media</t>
        </is>
      </c>
      <c r="E130" s="3" t="n">
        <v>2026</v>
      </c>
      <c r="F130" s="3" t="n">
        <v>2026</v>
      </c>
      <c r="G130" s="3" t="inlineStr">
        <is>
          <t>New in 2026</t>
        </is>
      </c>
      <c r="H130" s="3" t="inlineStr">
        <is>
          <t>Advanced</t>
        </is>
      </c>
      <c r="I130" s="3" t="inlineStr"/>
      <c r="J130" s="3" t="inlineStr"/>
      <c r="K130" s="3" t="inlineStr">
        <is>
          <t>Yes</t>
        </is>
      </c>
      <c r="L130" s="3" t="inlineStr"/>
      <c r="M130" s="3" t="inlineStr"/>
      <c r="N130" s="3" t="inlineStr"/>
      <c r="O130" s="3" t="inlineStr"/>
      <c r="P130" s="3" t="inlineStr"/>
      <c r="Q130" s="3" t="inlineStr">
        <is>
          <t>Models that jointly imagine future observations and the actions that lead to them, merging a world model and a policy.</t>
        </is>
      </c>
      <c r="R130" s="3" t="inlineStr">
        <is>
          <t>• NVIDIA's DreamZero research underpins the previewed GR00T N2.
• Claimed better generalisation to unseen tasks from modest teleoperation data.</t>
        </is>
      </c>
      <c r="S130" s="3" t="inlineStr"/>
      <c r="T130" s="3" t="n">
        <v>1</v>
      </c>
    </row>
    <row r="131">
      <c r="A131" s="3" t="n">
        <v>130</v>
      </c>
      <c r="B131" s="3" t="inlineStr">
        <is>
          <t>World models</t>
        </is>
      </c>
      <c r="C131" s="3" t="inlineStr"/>
      <c r="D131" s="3" t="inlineStr">
        <is>
          <t>13. Embodied AI, World Models and Generative Media</t>
        </is>
      </c>
      <c r="E131" s="3" t="n">
        <v>2018</v>
      </c>
      <c r="F131" s="3" t="n">
        <v>2026</v>
      </c>
      <c r="G131" s="3" t="inlineStr">
        <is>
          <t>Active in 2026</t>
        </is>
      </c>
      <c r="H131" s="3" t="inlineStr">
        <is>
          <t>Intermediate</t>
        </is>
      </c>
      <c r="I131" s="3" t="inlineStr"/>
      <c r="J131" s="3" t="inlineStr"/>
      <c r="K131" s="3" t="inlineStr">
        <is>
          <t>Yes</t>
        </is>
      </c>
      <c r="L131" s="3" t="inlineStr"/>
      <c r="M131" s="3" t="inlineStr"/>
      <c r="N131" s="3" t="inlineStr"/>
      <c r="O131" s="3" t="inlineStr"/>
      <c r="P131" s="3" t="inlineStr"/>
      <c r="Q131" s="3" t="inlineStr">
        <is>
          <t>Models that predict how an environment evolves under actions, for planning, simulation and interactive 3D worlds.</t>
        </is>
      </c>
      <c r="R131" s="3" t="inlineStr">
        <is>
          <t>• Genie-style models generate playable 3D environments from prompts.
• Used for training agents and robots in simulation.</t>
        </is>
      </c>
      <c r="S131" s="3" t="inlineStr"/>
      <c r="T131" s="3" t="n">
        <v>3</v>
      </c>
    </row>
    <row r="132">
      <c r="A132" s="3" t="n">
        <v>131</v>
      </c>
      <c r="B132" s="3" t="inlineStr">
        <is>
          <t>JEPA</t>
        </is>
      </c>
      <c r="C132" s="3" t="inlineStr">
        <is>
          <t>Joint-Embedding Predictive Architecture</t>
        </is>
      </c>
      <c r="D132" s="3" t="inlineStr">
        <is>
          <t>13. Embodied AI, World Models and Generative Media</t>
        </is>
      </c>
      <c r="E132" s="3" t="n">
        <v>2022</v>
      </c>
      <c r="F132" s="3" t="n">
        <v>2026</v>
      </c>
      <c r="G132" s="3" t="inlineStr">
        <is>
          <t>Active in 2026</t>
        </is>
      </c>
      <c r="H132" s="3" t="inlineStr">
        <is>
          <t>Advanced</t>
        </is>
      </c>
      <c r="I132" s="3" t="inlineStr"/>
      <c r="J132" s="3" t="inlineStr"/>
      <c r="K132" s="3" t="inlineStr">
        <is>
          <t>Yes</t>
        </is>
      </c>
      <c r="L132" s="3" t="inlineStr"/>
      <c r="M132" s="3" t="inlineStr"/>
      <c r="N132" s="3" t="inlineStr"/>
      <c r="O132" s="3" t="inlineStr"/>
      <c r="P132" s="3" t="inlineStr"/>
      <c r="Q132" s="3" t="inlineStr">
        <is>
          <t>Predict representations of missing input rather than pixels to learn world knowledge efficiently from video.</t>
        </is>
      </c>
      <c r="R132" s="3" t="inlineStr">
        <is>
          <t>• Avoids wasting capacity on unpredictable pixel details.
• V-JEPA 2 adds action-conditioned planning with little robot data.</t>
        </is>
      </c>
      <c r="S132" s="3" t="inlineStr"/>
      <c r="T132" s="3" t="n">
        <v>2</v>
      </c>
    </row>
    <row r="133">
      <c r="A133" s="3" t="n">
        <v>132</v>
      </c>
      <c r="B133" s="3" t="inlineStr">
        <is>
          <t>Robot simulation and sim-to-real</t>
        </is>
      </c>
      <c r="C133" s="3" t="inlineStr"/>
      <c r="D133" s="3" t="inlineStr">
        <is>
          <t>13. Embodied AI, World Models and Generative Media</t>
        </is>
      </c>
      <c r="E133" s="3" t="n">
        <v>2012</v>
      </c>
      <c r="F133" s="3" t="n">
        <v>2026</v>
      </c>
      <c r="G133" s="3" t="inlineStr">
        <is>
          <t>Active in 2026</t>
        </is>
      </c>
      <c r="H133" s="3" t="inlineStr">
        <is>
          <t>Intermediate</t>
        </is>
      </c>
      <c r="I133" s="3" t="inlineStr"/>
      <c r="J133" s="3" t="inlineStr"/>
      <c r="K133" s="3" t="inlineStr"/>
      <c r="L133" s="3" t="inlineStr">
        <is>
          <t>Yes</t>
        </is>
      </c>
      <c r="M133" s="3" t="inlineStr"/>
      <c r="N133" s="3" t="inlineStr"/>
      <c r="O133" s="3" t="inlineStr"/>
      <c r="P133" s="3" t="inlineStr"/>
      <c r="Q133" s="3" t="inlineStr">
        <is>
          <t>Physics simulators for training policies at scale before transferring to real robots.</t>
        </is>
      </c>
      <c r="R133" s="3" t="inlineStr">
        <is>
          <t>• Domain randomisation bridges the reality gap.
• GPU-parallel simulation runs thousands of environments at once.</t>
        </is>
      </c>
      <c r="S133" s="3" t="inlineStr"/>
      <c r="T133" s="3" t="n">
        <v>2</v>
      </c>
    </row>
    <row r="134">
      <c r="A134" s="3" t="n">
        <v>133</v>
      </c>
      <c r="B134" s="3" t="inlineStr">
        <is>
          <t>Diffusion transformers and flow matching</t>
        </is>
      </c>
      <c r="C134" s="3" t="inlineStr">
        <is>
          <t>DiT</t>
        </is>
      </c>
      <c r="D134" s="3" t="inlineStr">
        <is>
          <t>13. Embodied AI, World Models and Generative Media</t>
        </is>
      </c>
      <c r="E134" s="3" t="n">
        <v>2022</v>
      </c>
      <c r="F134" s="3" t="n">
        <v>2026</v>
      </c>
      <c r="G134" s="3" t="inlineStr">
        <is>
          <t>Active in 2026</t>
        </is>
      </c>
      <c r="H134" s="3" t="inlineStr">
        <is>
          <t>Advanced</t>
        </is>
      </c>
      <c r="I134" s="3" t="inlineStr"/>
      <c r="J134" s="3" t="inlineStr"/>
      <c r="K134" s="3" t="inlineStr"/>
      <c r="L134" s="3" t="inlineStr"/>
      <c r="M134" s="3" t="inlineStr"/>
      <c r="N134" s="3" t="inlineStr"/>
      <c r="O134" s="3" t="inlineStr"/>
      <c r="P134" s="3" t="inlineStr"/>
      <c r="Q134" s="3" t="inlineStr">
        <is>
          <t>The backbone of modern image and video generators.</t>
        </is>
      </c>
      <c r="R134" s="3" t="inlineStr">
        <is>
          <t>• Flow matching learns straight paths from noise to data.
• Few-step distillation enables real-time generation.</t>
        </is>
      </c>
      <c r="S134" s="3" t="inlineStr"/>
      <c r="T134" s="3" t="n">
        <v>4</v>
      </c>
    </row>
    <row r="135">
      <c r="A135" s="3" t="n">
        <v>134</v>
      </c>
      <c r="B135" s="3" t="inlineStr">
        <is>
          <t>Video generation</t>
        </is>
      </c>
      <c r="C135" s="3" t="inlineStr"/>
      <c r="D135" s="3" t="inlineStr">
        <is>
          <t>13. Embodied AI, World Models and Generative Media</t>
        </is>
      </c>
      <c r="E135" s="3" t="n">
        <v>2024</v>
      </c>
      <c r="F135" s="3" t="n">
        <v>2026</v>
      </c>
      <c r="G135" s="3" t="inlineStr">
        <is>
          <t>Active in 2026</t>
        </is>
      </c>
      <c r="H135" s="3" t="inlineStr">
        <is>
          <t>Beginner</t>
        </is>
      </c>
      <c r="I135" s="3" t="inlineStr"/>
      <c r="J135" s="3" t="inlineStr"/>
      <c r="K135" s="3" t="inlineStr"/>
      <c r="L135" s="3" t="inlineStr"/>
      <c r="M135" s="3" t="inlineStr"/>
      <c r="N135" s="3" t="inlineStr"/>
      <c r="O135" s="3" t="inlineStr"/>
      <c r="P135" s="3" t="inlineStr"/>
      <c r="Q135" s="3" t="inlineStr">
        <is>
          <t>Text- and image-to-video with synchronised audio and increasingly consistent physics.</t>
        </is>
      </c>
      <c r="R135" s="3" t="inlineStr">
        <is>
          <t>• Native audio, longer clips and camera control arrived in 2025-26.
• Provenance marks (C2PA, SynthID) are standard on major services.</t>
        </is>
      </c>
      <c r="S135" s="3" t="inlineStr"/>
      <c r="T135" s="3" t="n">
        <v>3</v>
      </c>
    </row>
    <row r="136">
      <c r="A136" s="3" t="n">
        <v>135</v>
      </c>
      <c r="B136" s="3" t="inlineStr">
        <is>
          <t>AI for science and algorithm discovery</t>
        </is>
      </c>
      <c r="C136" s="3" t="inlineStr"/>
      <c r="D136" s="3" t="inlineStr">
        <is>
          <t>13. Embodied AI, World Models and Generative Media</t>
        </is>
      </c>
      <c r="E136" s="3" t="n">
        <v>2020</v>
      </c>
      <c r="F136" s="3" t="n">
        <v>2026</v>
      </c>
      <c r="G136" s="3" t="inlineStr">
        <is>
          <t>Active in 2026</t>
        </is>
      </c>
      <c r="H136" s="3" t="inlineStr">
        <is>
          <t>Intermediate</t>
        </is>
      </c>
      <c r="I136" s="3" t="inlineStr"/>
      <c r="J136" s="3" t="inlineStr"/>
      <c r="K136" s="3" t="inlineStr">
        <is>
          <t>Yes</t>
        </is>
      </c>
      <c r="L136" s="3" t="inlineStr"/>
      <c r="M136" s="3" t="inlineStr"/>
      <c r="N136" s="3" t="inlineStr"/>
      <c r="O136" s="3" t="inlineStr"/>
      <c r="P136" s="3" t="inlineStr"/>
      <c r="Q136" s="3" t="inlineStr">
        <is>
          <t>LLM-driven evolutionary search and specialised models finding new algorithms, proofs and structures.</t>
        </is>
      </c>
      <c r="R136" s="3" t="inlineStr">
        <is>
          <t>• In 2026 open communities of agents set new records on math problems through shared submissions and verifiers.</t>
        </is>
      </c>
      <c r="S136" s="3" t="inlineStr"/>
      <c r="T136" s="3" t="n">
        <v>4</v>
      </c>
    </row>
    <row r="137">
      <c r="A137" s="3" t="n">
        <v>136</v>
      </c>
      <c r="B137" s="3" t="inlineStr">
        <is>
          <t>Eval harnesses</t>
        </is>
      </c>
      <c r="C137" s="3" t="inlineStr"/>
      <c r="D137" s="3" t="inlineStr">
        <is>
          <t>14. Evaluation and Benchmarks</t>
        </is>
      </c>
      <c r="E137" s="3" t="n">
        <v>2021</v>
      </c>
      <c r="F137" s="3" t="n">
        <v>2026</v>
      </c>
      <c r="G137" s="3" t="inlineStr">
        <is>
          <t>Active in 2026</t>
        </is>
      </c>
      <c r="H137" s="3" t="inlineStr">
        <is>
          <t>Intermediate</t>
        </is>
      </c>
      <c r="I137" s="3" t="inlineStr"/>
      <c r="J137" s="3" t="inlineStr">
        <is>
          <t>Yes</t>
        </is>
      </c>
      <c r="K137" s="3" t="inlineStr"/>
      <c r="L137" s="3" t="inlineStr">
        <is>
          <t>Yes</t>
        </is>
      </c>
      <c r="M137" s="3" t="inlineStr"/>
      <c r="N137" s="3" t="inlineStr"/>
      <c r="O137" s="3" t="inlineStr"/>
      <c r="P137" s="3" t="inlineStr"/>
      <c r="Q137" s="3" t="inlineStr">
        <is>
          <t>Frameworks that define tasks, run models or agents against them in sandboxes, and score results reproducibly.</t>
        </is>
      </c>
      <c r="R137" s="3" t="inlineStr">
        <is>
          <t>• Inspect supports agents, sandboxes and scorers out of the box.
• Pin versions: prompts, tools, seeds and graders.</t>
        </is>
      </c>
      <c r="S137" s="3" t="inlineStr"/>
      <c r="T137" s="3" t="n">
        <v>5</v>
      </c>
    </row>
    <row r="138">
      <c r="A138" s="3" t="n">
        <v>137</v>
      </c>
      <c r="B138" s="3" t="inlineStr">
        <is>
          <t>Harness sensitivity of benchmarks</t>
        </is>
      </c>
      <c r="C138" s="3" t="inlineStr"/>
      <c r="D138" s="3" t="inlineStr">
        <is>
          <t>14. Evaluation and Benchmarks</t>
        </is>
      </c>
      <c r="E138" s="3" t="n">
        <v>2025</v>
      </c>
      <c r="F138" s="3" t="n">
        <v>2026</v>
      </c>
      <c r="G138" s="3" t="inlineStr">
        <is>
          <t>Active in 2026</t>
        </is>
      </c>
      <c r="H138" s="3" t="inlineStr">
        <is>
          <t>Intermediate</t>
        </is>
      </c>
      <c r="I138" s="3" t="inlineStr"/>
      <c r="J138" s="3" t="inlineStr"/>
      <c r="K138" s="3" t="inlineStr">
        <is>
          <t>Yes</t>
        </is>
      </c>
      <c r="L138" s="3" t="inlineStr"/>
      <c r="M138" s="3" t="inlineStr"/>
      <c r="N138" s="3" t="inlineStr"/>
      <c r="O138" s="3" t="inlineStr"/>
      <c r="P138" s="3" t="inlineStr"/>
      <c r="Q138" s="3" t="inlineStr">
        <is>
          <t>Scores depend heavily on the agent harness used to run the model, so the same model can post very different numbers.</t>
        </is>
      </c>
      <c r="R138" s="3" t="inlineStr">
        <is>
          <t>• ARC Prize reported GPT-6 Astra at 62.7% on ARC-AGI-3 with its standard harness, and 99.9% with a provider harness that preserves hidden reasoning between turns.</t>
        </is>
      </c>
      <c r="S138" s="3" t="inlineStr">
        <is>
          <t>Always record harness, tools, budget and reasoning settings with any score.</t>
        </is>
      </c>
      <c r="T138" s="3" t="n">
        <v>1</v>
      </c>
    </row>
    <row r="139">
      <c r="A139" s="3" t="n">
        <v>138</v>
      </c>
      <c r="B139" s="3" t="inlineStr">
        <is>
          <t>LLM-as-a-judge</t>
        </is>
      </c>
      <c r="C139" s="3" t="inlineStr"/>
      <c r="D139" s="3" t="inlineStr">
        <is>
          <t>14. Evaluation and Benchmarks</t>
        </is>
      </c>
      <c r="E139" s="3" t="n">
        <v>2023</v>
      </c>
      <c r="F139" s="3" t="n">
        <v>2026</v>
      </c>
      <c r="G139" s="3" t="inlineStr">
        <is>
          <t>Active in 2026</t>
        </is>
      </c>
      <c r="H139" s="3" t="inlineStr">
        <is>
          <t>Beginner</t>
        </is>
      </c>
      <c r="I139" s="3" t="inlineStr"/>
      <c r="J139" s="3" t="inlineStr">
        <is>
          <t>Yes</t>
        </is>
      </c>
      <c r="K139" s="3" t="inlineStr"/>
      <c r="L139" s="3" t="inlineStr"/>
      <c r="M139" s="3" t="inlineStr"/>
      <c r="N139" s="3" t="inlineStr"/>
      <c r="O139" s="3" t="inlineStr"/>
      <c r="P139" s="3" t="inlineStr"/>
      <c r="Q139" s="3" t="inlineStr">
        <is>
          <t>Using a model with a rubric to grade open-ended outputs; needs calibration against humans.</t>
        </is>
      </c>
      <c r="R139" s="3" t="inlineStr">
        <is>
          <t>• Use pairwise comparisons and specific rubrics.
• Measure judge agreement with humans on a sample.</t>
        </is>
      </c>
      <c r="S139" s="3" t="inlineStr"/>
      <c r="T139" s="3" t="n">
        <v>1</v>
      </c>
    </row>
    <row r="140">
      <c r="A140" s="3" t="n">
        <v>139</v>
      </c>
      <c r="B140" s="3" t="inlineStr">
        <is>
          <t>Agentic coding benchmarks</t>
        </is>
      </c>
      <c r="C140" s="3" t="inlineStr">
        <is>
          <t>SWE-bench, Terminal-Bench</t>
        </is>
      </c>
      <c r="D140" s="3" t="inlineStr">
        <is>
          <t>14. Evaluation and Benchmarks</t>
        </is>
      </c>
      <c r="E140" s="3" t="n">
        <v>2023</v>
      </c>
      <c r="F140" s="3" t="n">
        <v>2026</v>
      </c>
      <c r="G140" s="3" t="inlineStr">
        <is>
          <t>Active in 2026</t>
        </is>
      </c>
      <c r="H140" s="3" t="inlineStr">
        <is>
          <t>Beginner</t>
        </is>
      </c>
      <c r="I140" s="3" t="inlineStr"/>
      <c r="J140" s="3" t="inlineStr"/>
      <c r="K140" s="3" t="inlineStr"/>
      <c r="L140" s="3" t="inlineStr"/>
      <c r="M140" s="3" t="inlineStr"/>
      <c r="N140" s="3" t="inlineStr"/>
      <c r="O140" s="3" t="inlineStr"/>
      <c r="P140" s="3" t="inlineStr"/>
      <c r="Q140" s="3" t="inlineStr">
        <is>
          <t>Real repository issues and terminal tasks graded by tests.</t>
        </is>
      </c>
      <c r="R140" s="3" t="inlineStr">
        <is>
          <t>• Verified subsets remove broken or ambiguous tasks.
• Watch for contamination of public repositories.</t>
        </is>
      </c>
      <c r="S140" s="3" t="inlineStr">
        <is>
          <t>SWE-bench Verified is near saturation (mid-90s percent for top 2026 models); harder variants like SWE-bench Pro and Terminal-Bench matter more.</t>
        </is>
      </c>
      <c r="T140" s="3" t="n">
        <v>3</v>
      </c>
    </row>
    <row r="141">
      <c r="A141" s="3" t="n">
        <v>140</v>
      </c>
      <c r="B141" s="3" t="inlineStr">
        <is>
          <t>ARC-AGI-3 and interactive reasoning</t>
        </is>
      </c>
      <c r="C141" s="3" t="inlineStr">
        <is>
          <t>ARC-AGI-3</t>
        </is>
      </c>
      <c r="D141" s="3" t="inlineStr">
        <is>
          <t>14. Evaluation and Benchmarks</t>
        </is>
      </c>
      <c r="E141" s="3" t="n">
        <v>2026</v>
      </c>
      <c r="F141" s="3" t="n">
        <v>2026</v>
      </c>
      <c r="G141" s="3" t="inlineStr">
        <is>
          <t>New in 2026</t>
        </is>
      </c>
      <c r="H141" s="3" t="inlineStr">
        <is>
          <t>Intermediate</t>
        </is>
      </c>
      <c r="I141" s="3" t="inlineStr"/>
      <c r="J141" s="3" t="inlineStr"/>
      <c r="K141" s="3" t="inlineStr">
        <is>
          <t>Yes</t>
        </is>
      </c>
      <c r="L141" s="3" t="inlineStr"/>
      <c r="M141" s="3" t="inlineStr"/>
      <c r="N141" s="3" t="inlineStr"/>
      <c r="O141" s="3" t="inlineStr"/>
      <c r="P141" s="3" t="inlineStr"/>
      <c r="Q141" s="3" t="inlineStr">
        <is>
          <t>The first interactive ARC benchmark (March 2026): hundreds of hand-designed game environments with no instructions or stated goals. Agents must explore, infer rules and goals, and carry learning across levels.</t>
        </is>
      </c>
      <c r="R141" s="3" t="inlineStr">
        <is>
          <t>• At launch humans solved 100% while frontier models scored under 1%.
• By September 2026 top models reached large scores depending on harness.</t>
        </is>
      </c>
      <c r="S141" s="3" t="inlineStr"/>
      <c r="T141" s="3" t="n">
        <v>3</v>
      </c>
    </row>
    <row r="142">
      <c r="A142" s="3" t="n">
        <v>141</v>
      </c>
      <c r="B142" s="3" t="inlineStr">
        <is>
          <t>Agent and tool-use benchmarks</t>
        </is>
      </c>
      <c r="C142" s="3" t="inlineStr"/>
      <c r="D142" s="3" t="inlineStr">
        <is>
          <t>14. Evaluation and Benchmarks</t>
        </is>
      </c>
      <c r="E142" s="3" t="n">
        <v>2024</v>
      </c>
      <c r="F142" s="3" t="n">
        <v>2026</v>
      </c>
      <c r="G142" s="3" t="inlineStr">
        <is>
          <t>Active in 2026</t>
        </is>
      </c>
      <c r="H142" s="3" t="inlineStr">
        <is>
          <t>Intermediate</t>
        </is>
      </c>
      <c r="I142" s="3" t="inlineStr"/>
      <c r="J142" s="3" t="inlineStr"/>
      <c r="K142" s="3" t="inlineStr"/>
      <c r="L142" s="3" t="inlineStr"/>
      <c r="M142" s="3" t="inlineStr"/>
      <c r="N142" s="3" t="inlineStr"/>
      <c r="O142" s="3" t="inlineStr"/>
      <c r="P142" s="3" t="inlineStr"/>
      <c r="Q142" s="3" t="inlineStr">
        <is>
          <t>Tasks in simulated customer service, operating systems and the web.</t>
        </is>
      </c>
      <c r="R142" s="3" t="inlineStr">
        <is>
          <t>• tau-bench tests policy-following with simulated users.
• Pass^k measures consistency across repeated attempts.</t>
        </is>
      </c>
      <c r="S142" s="3" t="inlineStr"/>
      <c r="T142" s="3" t="n">
        <v>3</v>
      </c>
    </row>
    <row r="143">
      <c r="A143" s="3" t="n">
        <v>142</v>
      </c>
      <c r="B143" s="3" t="inlineStr">
        <is>
          <t>Frontier knowledge benchmarks</t>
        </is>
      </c>
      <c r="C143" s="3" t="inlineStr">
        <is>
          <t>HLE, GPQA, FrontierMath</t>
        </is>
      </c>
      <c r="D143" s="3" t="inlineStr">
        <is>
          <t>14. Evaluation and Benchmarks</t>
        </is>
      </c>
      <c r="E143" s="3" t="n">
        <v>2023</v>
      </c>
      <c r="F143" s="3" t="n">
        <v>2026</v>
      </c>
      <c r="G143" s="3" t="inlineStr">
        <is>
          <t>Active in 2026</t>
        </is>
      </c>
      <c r="H143" s="3" t="inlineStr">
        <is>
          <t>Intermediate</t>
        </is>
      </c>
      <c r="I143" s="3" t="inlineStr"/>
      <c r="J143" s="3" t="inlineStr"/>
      <c r="K143" s="3" t="inlineStr"/>
      <c r="L143" s="3" t="inlineStr"/>
      <c r="M143" s="3" t="inlineStr"/>
      <c r="N143" s="3" t="inlineStr"/>
      <c r="O143" s="3" t="inlineStr"/>
      <c r="P143" s="3" t="inlineStr"/>
      <c r="Q143" s="3" t="inlineStr">
        <is>
          <t>Hard expert questions designed to resist saturation.</t>
        </is>
      </c>
      <c r="R143" s="3" t="inlineStr">
        <is>
          <t>• Designed by domain experts to resist search.
• Saturation arrives faster each generation.</t>
        </is>
      </c>
      <c r="S143" s="3" t="inlineStr"/>
      <c r="T143" s="3" t="n">
        <v>3</v>
      </c>
    </row>
    <row r="144">
      <c r="A144" s="3" t="n">
        <v>143</v>
      </c>
      <c r="B144" s="3" t="inlineStr">
        <is>
          <t>Economic value evals</t>
        </is>
      </c>
      <c r="C144" s="3" t="inlineStr">
        <is>
          <t>GDPval</t>
        </is>
      </c>
      <c r="D144" s="3" t="inlineStr">
        <is>
          <t>14. Evaluation and Benchmarks</t>
        </is>
      </c>
      <c r="E144" s="3" t="n">
        <v>2025</v>
      </c>
      <c r="F144" s="3" t="n">
        <v>2026</v>
      </c>
      <c r="G144" s="3" t="inlineStr">
        <is>
          <t>Active in 2026</t>
        </is>
      </c>
      <c r="H144" s="3" t="inlineStr">
        <is>
          <t>Beginner</t>
        </is>
      </c>
      <c r="I144" s="3" t="inlineStr"/>
      <c r="J144" s="3" t="inlineStr"/>
      <c r="K144" s="3" t="inlineStr"/>
      <c r="L144" s="3" t="inlineStr"/>
      <c r="M144" s="3" t="inlineStr"/>
      <c r="N144" s="3" t="inlineStr">
        <is>
          <t>Yes</t>
        </is>
      </c>
      <c r="O144" s="3" t="inlineStr"/>
      <c r="P144" s="3" t="inlineStr"/>
      <c r="Q144" s="3" t="inlineStr">
        <is>
          <t>Measure performance on real work products from many occupations, graded by professionals.</t>
        </is>
      </c>
      <c r="R144" s="3" t="inlineStr">
        <is>
          <t>• Tasks come with real deliverables (documents, spreadsheets, plans).
• Graded blind against expert work.</t>
        </is>
      </c>
      <c r="S144" s="3" t="inlineStr"/>
      <c r="T144" s="3" t="n">
        <v>1</v>
      </c>
    </row>
    <row r="145">
      <c r="A145" s="3" t="n">
        <v>144</v>
      </c>
      <c r="B145" s="3" t="inlineStr">
        <is>
          <t>Task time horizon</t>
        </is>
      </c>
      <c r="C145" s="3" t="inlineStr">
        <is>
          <t>METR horizon</t>
        </is>
      </c>
      <c r="D145" s="3" t="inlineStr">
        <is>
          <t>14. Evaluation and Benchmarks</t>
        </is>
      </c>
      <c r="E145" s="3" t="n">
        <v>2025</v>
      </c>
      <c r="F145" s="3" t="n">
        <v>2026</v>
      </c>
      <c r="G145" s="3" t="inlineStr">
        <is>
          <t>Active in 2026</t>
        </is>
      </c>
      <c r="H145" s="3" t="inlineStr">
        <is>
          <t>Intermediate</t>
        </is>
      </c>
      <c r="I145" s="3" t="inlineStr"/>
      <c r="J145" s="3" t="inlineStr"/>
      <c r="K145" s="3" t="inlineStr">
        <is>
          <t>Yes</t>
        </is>
      </c>
      <c r="L145" s="3" t="inlineStr"/>
      <c r="M145" s="3" t="inlineStr"/>
      <c r="N145" s="3" t="inlineStr"/>
      <c r="O145" s="3" t="inlineStr"/>
      <c r="P145" s="3" t="inlineStr"/>
      <c r="Q145" s="3" t="inlineStr">
        <is>
          <t>The length of task (in expert human time) a model completes with 50% success; it has been doubling every several months.</t>
        </is>
      </c>
      <c r="R145" s="3" t="inlineStr">
        <is>
          <t>• Useful for forecasting when tasks of a given length become automatable.
• Reliability at 80% success lags the 50% horizon.</t>
        </is>
      </c>
      <c r="S145" s="3" t="inlineStr"/>
      <c r="T145" s="3" t="n">
        <v>1</v>
      </c>
    </row>
    <row r="146">
      <c r="A146" s="3" t="n">
        <v>145</v>
      </c>
      <c r="B146" s="3" t="inlineStr">
        <is>
          <t>Leaderboards and trackers</t>
        </is>
      </c>
      <c r="C146" s="3" t="inlineStr"/>
      <c r="D146" s="3" t="inlineStr">
        <is>
          <t>14. Evaluation and Benchmarks</t>
        </is>
      </c>
      <c r="E146" s="3" t="n">
        <v>2023</v>
      </c>
      <c r="F146" s="3" t="n">
        <v>2026</v>
      </c>
      <c r="G146" s="3" t="inlineStr">
        <is>
          <t>Active in 2026</t>
        </is>
      </c>
      <c r="H146" s="3" t="inlineStr">
        <is>
          <t>Beginner</t>
        </is>
      </c>
      <c r="I146" s="3" t="inlineStr"/>
      <c r="J146" s="3" t="inlineStr"/>
      <c r="K146" s="3" t="inlineStr"/>
      <c r="L146" s="3" t="inlineStr"/>
      <c r="M146" s="3" t="inlineStr"/>
      <c r="N146" s="3" t="inlineStr"/>
      <c r="O146" s="3" t="inlineStr"/>
      <c r="P146" s="3" t="inlineStr"/>
      <c r="Q146" s="3" t="inlineStr">
        <is>
          <t>Crowd preference arenas and independent aggregators of scores, price and speed.</t>
        </is>
      </c>
      <c r="R146" s="3" t="inlineStr">
        <is>
          <t>• Arena Elo reflects preference, not correctness.
• Cross-check with task-specific benchmarks.</t>
        </is>
      </c>
      <c r="S146" s="3" t="inlineStr"/>
      <c r="T146" s="3" t="n">
        <v>3</v>
      </c>
    </row>
    <row r="147">
      <c r="A147" s="3" t="n">
        <v>146</v>
      </c>
      <c r="B147" s="3" t="inlineStr">
        <is>
          <t>Contamination and saturation</t>
        </is>
      </c>
      <c r="C147" s="3" t="inlineStr"/>
      <c r="D147" s="3" t="inlineStr">
        <is>
          <t>14. Evaluation and Benchmarks</t>
        </is>
      </c>
      <c r="E147" s="3" t="n">
        <v>2023</v>
      </c>
      <c r="F147" s="3" t="n">
        <v>2026</v>
      </c>
      <c r="G147" s="3" t="inlineStr">
        <is>
          <t>Active in 2026</t>
        </is>
      </c>
      <c r="H147" s="3" t="inlineStr">
        <is>
          <t>Intermediate</t>
        </is>
      </c>
      <c r="I147" s="3" t="inlineStr"/>
      <c r="J147" s="3" t="inlineStr"/>
      <c r="K147" s="3" t="inlineStr">
        <is>
          <t>Yes</t>
        </is>
      </c>
      <c r="L147" s="3" t="inlineStr"/>
      <c r="M147" s="3" t="inlineStr"/>
      <c r="N147" s="3" t="inlineStr"/>
      <c r="O147" s="3" t="inlineStr"/>
      <c r="P147" s="3" t="inlineStr"/>
      <c r="Q147" s="3" t="inlineStr">
        <is>
          <t>Leaked test data inflates scores and benchmarks saturate within months; private holdouts and live evals counter this.</t>
        </is>
      </c>
      <c r="R147" s="3" t="inlineStr">
        <is>
          <t>• Use canary strings and private test sets.
• Prefer dynamic benchmarks refreshed over time.</t>
        </is>
      </c>
      <c r="S147" s="3" t="inlineStr"/>
      <c r="T147" s="3" t="n">
        <v>1</v>
      </c>
    </row>
    <row r="148">
      <c r="A148" s="3" t="n">
        <v>147</v>
      </c>
      <c r="B148" s="3" t="inlineStr">
        <is>
          <t>Capability thresholds and frontier safety frameworks</t>
        </is>
      </c>
      <c r="C148" s="3" t="inlineStr">
        <is>
          <t>RSP, ASL, Preparedness</t>
        </is>
      </c>
      <c r="D148" s="3" t="inlineStr">
        <is>
          <t>15. Safety, Security, Interpretability and Governance</t>
        </is>
      </c>
      <c r="E148" s="3" t="n">
        <v>2023</v>
      </c>
      <c r="F148" s="3" t="n">
        <v>2026</v>
      </c>
      <c r="G148" s="3" t="inlineStr">
        <is>
          <t>Active in 2026</t>
        </is>
      </c>
      <c r="H148" s="3" t="inlineStr">
        <is>
          <t>Intermediate</t>
        </is>
      </c>
      <c r="I148" s="3" t="inlineStr"/>
      <c r="J148" s="3" t="inlineStr"/>
      <c r="K148" s="3" t="inlineStr"/>
      <c r="L148" s="3" t="inlineStr"/>
      <c r="M148" s="3" t="inlineStr"/>
      <c r="N148" s="3" t="inlineStr"/>
      <c r="O148" s="3" t="inlineStr">
        <is>
          <t>Yes</t>
        </is>
      </c>
      <c r="P148" s="3" t="inlineStr"/>
      <c r="Q148" s="3" t="inlineStr">
        <is>
          <t>Company policies that tie capability levels (bio, cyber, autonomy) to required safeguards before training or deployment.</t>
        </is>
      </c>
      <c r="R148" s="3" t="inlineStr">
        <is>
          <t>• 2026 was the first time a lab publicly declared a model at its highest cyber level (OpenAI, GPT-6 Astra, Critical).
• Crossing a threshold changed release: phased rollout, trusted access, encrypted checkpoints, trajectory monitoring.</t>
        </is>
      </c>
      <c r="S148" s="3" t="inlineStr"/>
      <c r="T148" s="3" t="n">
        <v>4</v>
      </c>
    </row>
    <row r="149">
      <c r="A149" s="3" t="n">
        <v>148</v>
      </c>
      <c r="B149" s="3" t="inlineStr">
        <is>
          <t>AI for cyber defense</t>
        </is>
      </c>
      <c r="C149" s="3" t="inlineStr"/>
      <c r="D149" s="3" t="inlineStr">
        <is>
          <t>15. Safety, Security, Interpretability and Governance</t>
        </is>
      </c>
      <c r="E149" s="3" t="n">
        <v>2025</v>
      </c>
      <c r="F149" s="3" t="n">
        <v>2026</v>
      </c>
      <c r="G149" s="3" t="inlineStr">
        <is>
          <t>Active in 2026</t>
        </is>
      </c>
      <c r="H149" s="3" t="inlineStr">
        <is>
          <t>Intermediate</t>
        </is>
      </c>
      <c r="I149" s="3" t="inlineStr"/>
      <c r="J149" s="3" t="inlineStr"/>
      <c r="K149" s="3" t="inlineStr"/>
      <c r="L149" s="3" t="inlineStr"/>
      <c r="M149" s="3" t="inlineStr"/>
      <c r="N149" s="3" t="inlineStr"/>
      <c r="O149" s="3" t="inlineStr">
        <is>
          <t>Yes</t>
        </is>
      </c>
      <c r="P149" s="3" t="inlineStr"/>
      <c r="Q149" s="3" t="inlineStr">
        <is>
          <t>Frontier models now find serious vulnerabilities, so labs give defenders early, controlled access to harden critical software.</t>
        </is>
      </c>
      <c r="R149" s="3" t="inlineStr">
        <is>
          <t>• Automated vulnerability discovery and patch generation at scale.
• Access is gated to vetted defenders and critical-infrastructure operators.</t>
        </is>
      </c>
      <c r="S149" s="3" t="inlineStr"/>
      <c r="T149" s="3" t="n">
        <v>1</v>
      </c>
    </row>
    <row r="150">
      <c r="A150" s="3" t="n">
        <v>149</v>
      </c>
      <c r="B150" s="3" t="inlineStr">
        <is>
          <t>Export controls on frontier models</t>
        </is>
      </c>
      <c r="C150" s="3" t="inlineStr"/>
      <c r="D150" s="3" t="inlineStr">
        <is>
          <t>15. Safety, Security, Interpretability and Governance</t>
        </is>
      </c>
      <c r="E150" s="3" t="n">
        <v>2026</v>
      </c>
      <c r="F150" s="3" t="n">
        <v>2026</v>
      </c>
      <c r="G150" s="3" t="inlineStr">
        <is>
          <t>New in 2026</t>
        </is>
      </c>
      <c r="H150" s="3" t="inlineStr">
        <is>
          <t>Beginner</t>
        </is>
      </c>
      <c r="I150" s="3" t="inlineStr"/>
      <c r="J150" s="3" t="inlineStr"/>
      <c r="K150" s="3" t="inlineStr"/>
      <c r="L150" s="3" t="inlineStr"/>
      <c r="M150" s="3" t="inlineStr"/>
      <c r="N150" s="3" t="inlineStr">
        <is>
          <t>Yes</t>
        </is>
      </c>
      <c r="O150" s="3" t="inlineStr"/>
      <c r="P150" s="3" t="inlineStr"/>
      <c r="Q150" s="3" t="inlineStr">
        <is>
          <t>Governments began applying export controls to model access, not only chips. In June 2026 Anthropic suspended Fable 5 / Mythos 5 access to comply with US Department of Commerce controls, then restored it on July 1 after they were lifted.</t>
        </is>
      </c>
      <c r="R150" s="3" t="inlineStr">
        <is>
          <t>• Controls can change access overnight; plan fallbacks in production.
• Check provider status pages and statements for current availability.</t>
        </is>
      </c>
      <c r="S150" s="3" t="inlineStr"/>
      <c r="T150" s="3" t="n">
        <v>1</v>
      </c>
    </row>
    <row r="151">
      <c r="A151" s="3" t="n">
        <v>150</v>
      </c>
      <c r="B151" s="3" t="inlineStr">
        <is>
          <t>Prompt injection and the lethal trifecta</t>
        </is>
      </c>
      <c r="C151" s="3" t="inlineStr"/>
      <c r="D151" s="3" t="inlineStr">
        <is>
          <t>15. Safety, Security, Interpretability and Governance</t>
        </is>
      </c>
      <c r="E151" s="3" t="n">
        <v>2022</v>
      </c>
      <c r="F151" s="3" t="n">
        <v>2026</v>
      </c>
      <c r="G151" s="3" t="inlineStr">
        <is>
          <t>Active in 2026</t>
        </is>
      </c>
      <c r="H151" s="3" t="inlineStr">
        <is>
          <t>Beginner</t>
        </is>
      </c>
      <c r="I151" s="3" t="inlineStr"/>
      <c r="J151" s="3" t="inlineStr"/>
      <c r="K151" s="3" t="inlineStr"/>
      <c r="L151" s="3" t="inlineStr"/>
      <c r="M151" s="3" t="inlineStr"/>
      <c r="N151" s="3" t="inlineStr"/>
      <c r="O151" s="3" t="inlineStr">
        <is>
          <t>Yes</t>
        </is>
      </c>
      <c r="P151" s="3" t="inlineStr"/>
      <c r="Q151" s="3" t="inlineStr">
        <is>
          <t>Untrusted content can carry instructions that hijack an agent. Private data plus untrusted input plus external communication is especially dangerous.</t>
        </is>
      </c>
      <c r="R151" s="3" t="inlineStr">
        <is>
          <t>• No reliable model-only fix exists; design systems to limit blast radius.
• Separate privileged planning from untrusted data processing (CaMeL-style).</t>
        </is>
      </c>
      <c r="S151" s="3" t="inlineStr"/>
      <c r="T151" s="3" t="n">
        <v>3</v>
      </c>
    </row>
    <row r="152">
      <c r="A152" s="3" t="n">
        <v>151</v>
      </c>
      <c r="B152" s="3" t="inlineStr">
        <is>
          <t>MCP and tool security</t>
        </is>
      </c>
      <c r="C152" s="3" t="inlineStr">
        <is>
          <t>tool poisoning</t>
        </is>
      </c>
      <c r="D152" s="3" t="inlineStr">
        <is>
          <t>15. Safety, Security, Interpretability and Governance</t>
        </is>
      </c>
      <c r="E152" s="3" t="n">
        <v>2025</v>
      </c>
      <c r="F152" s="3" t="n">
        <v>2026</v>
      </c>
      <c r="G152" s="3" t="inlineStr">
        <is>
          <t>Active in 2026</t>
        </is>
      </c>
      <c r="H152" s="3" t="inlineStr">
        <is>
          <t>Intermediate</t>
        </is>
      </c>
      <c r="I152" s="3" t="inlineStr"/>
      <c r="J152" s="3" t="inlineStr"/>
      <c r="K152" s="3" t="inlineStr"/>
      <c r="L152" s="3" t="inlineStr"/>
      <c r="M152" s="3" t="inlineStr"/>
      <c r="N152" s="3" t="inlineStr"/>
      <c r="O152" s="3" t="inlineStr">
        <is>
          <t>Yes</t>
        </is>
      </c>
      <c r="P152" s="3" t="inlineStr"/>
      <c r="Q152" s="3" t="inlineStr">
        <is>
          <t>Malicious tool descriptions and servers can steer agents; mitigations include allow-lists, pinning, scoped OAuth and approval for sensitive actions.</t>
        </is>
      </c>
      <c r="R152" s="3" t="inlineStr">
        <is>
          <t>• Review tool descriptions like code.
• Use scoped tokens and least privilege per server.</t>
        </is>
      </c>
      <c r="S152" s="3" t="inlineStr">
        <is>
          <t>The 2026 MCP spec hardened authorization with issuer validation and enterprise-managed auth.</t>
        </is>
      </c>
      <c r="T152" s="3" t="n">
        <v>2</v>
      </c>
    </row>
    <row r="153">
      <c r="A153" s="3" t="n">
        <v>152</v>
      </c>
      <c r="B153" s="3" t="inlineStr">
        <is>
          <t>Guardrails and classifiers</t>
        </is>
      </c>
      <c r="C153" s="3" t="inlineStr"/>
      <c r="D153" s="3" t="inlineStr">
        <is>
          <t>15. Safety, Security, Interpretability and Governance</t>
        </is>
      </c>
      <c r="E153" s="3" t="n">
        <v>2023</v>
      </c>
      <c r="F153" s="3" t="n">
        <v>2026</v>
      </c>
      <c r="G153" s="3" t="inlineStr">
        <is>
          <t>Active in 2026</t>
        </is>
      </c>
      <c r="H153" s="3" t="inlineStr">
        <is>
          <t>Intermediate</t>
        </is>
      </c>
      <c r="I153" s="3" t="inlineStr"/>
      <c r="J153" s="3" t="inlineStr">
        <is>
          <t>Yes</t>
        </is>
      </c>
      <c r="K153" s="3" t="inlineStr"/>
      <c r="L153" s="3" t="inlineStr"/>
      <c r="M153" s="3" t="inlineStr"/>
      <c r="N153" s="3" t="inlineStr"/>
      <c r="O153" s="3" t="inlineStr">
        <is>
          <t>Yes</t>
        </is>
      </c>
      <c r="P153" s="3" t="inlineStr"/>
      <c r="Q153" s="3" t="inlineStr">
        <is>
          <t>Input/output filters, policy models and constitutional classifiers that block harmful requests and jailbreaks.</t>
        </is>
      </c>
      <c r="R153" s="3" t="inlineStr">
        <is>
          <t>• Layer defenses: input filter, model policy, output filter, monitoring.
• Tune for false positives, which frustrate legitimate users.</t>
        </is>
      </c>
      <c r="S153" s="3" t="inlineStr"/>
      <c r="T153" s="3" t="n">
        <v>3</v>
      </c>
    </row>
    <row r="154">
      <c r="A154" s="3" t="n">
        <v>153</v>
      </c>
      <c r="B154" s="3" t="inlineStr">
        <is>
          <t>Mechanistic interpretability</t>
        </is>
      </c>
      <c r="C154" s="3" t="inlineStr">
        <is>
          <t>SAEs, attribution graphs</t>
        </is>
      </c>
      <c r="D154" s="3" t="inlineStr">
        <is>
          <t>15. Safety, Security, Interpretability and Governance</t>
        </is>
      </c>
      <c r="E154" s="3" t="n">
        <v>2020</v>
      </c>
      <c r="F154" s="3" t="n">
        <v>2026</v>
      </c>
      <c r="G154" s="3" t="inlineStr">
        <is>
          <t>Active in 2026</t>
        </is>
      </c>
      <c r="H154" s="3" t="inlineStr">
        <is>
          <t>Advanced</t>
        </is>
      </c>
      <c r="I154" s="3" t="inlineStr"/>
      <c r="J154" s="3" t="inlineStr"/>
      <c r="K154" s="3" t="inlineStr">
        <is>
          <t>Yes</t>
        </is>
      </c>
      <c r="L154" s="3" t="inlineStr"/>
      <c r="M154" s="3" t="inlineStr"/>
      <c r="N154" s="3" t="inlineStr"/>
      <c r="O154" s="3" t="inlineStr"/>
      <c r="P154" s="3" t="inlineStr"/>
      <c r="Q154" s="3" t="inlineStr">
        <is>
          <t>Reverse-engineering what networks compute: sparse autoencoders find features; attribution graphs trace how they combine.</t>
        </is>
      </c>
      <c r="R154" s="3" t="inlineStr">
        <is>
          <t>• Features are directions in activation space.
• Used for auditing, debugging and steering models.</t>
        </is>
      </c>
      <c r="S154" s="3" t="inlineStr"/>
      <c r="T154" s="3" t="n">
        <v>6</v>
      </c>
    </row>
    <row r="155">
      <c r="A155" s="3" t="n">
        <v>154</v>
      </c>
      <c r="B155" s="3" t="inlineStr">
        <is>
          <t>Persona vectors and introspection</t>
        </is>
      </c>
      <c r="C155" s="3" t="inlineStr"/>
      <c r="D155" s="3" t="inlineStr">
        <is>
          <t>15. Safety, Security, Interpretability and Governance</t>
        </is>
      </c>
      <c r="E155" s="3" t="n">
        <v>2025</v>
      </c>
      <c r="F155" s="3" t="n">
        <v>2026</v>
      </c>
      <c r="G155" s="3" t="inlineStr">
        <is>
          <t>Active in 2026</t>
        </is>
      </c>
      <c r="H155" s="3" t="inlineStr">
        <is>
          <t>Advanced</t>
        </is>
      </c>
      <c r="I155" s="3" t="inlineStr"/>
      <c r="J155" s="3" t="inlineStr"/>
      <c r="K155" s="3" t="inlineStr">
        <is>
          <t>Yes</t>
        </is>
      </c>
      <c r="L155" s="3" t="inlineStr"/>
      <c r="M155" s="3" t="inlineStr"/>
      <c r="N155" s="3" t="inlineStr"/>
      <c r="O155" s="3" t="inlineStr"/>
      <c r="P155" s="3" t="inlineStr"/>
      <c r="Q155" s="3" t="inlineStr">
        <is>
          <t>Activation directions tracking traits like sycophancy that can be monitored or steered; tests of whether models can report internal states.</t>
        </is>
      </c>
      <c r="R155" s="3" t="inlineStr">
        <is>
          <t>• Monitor trait drift during fine-tuning.
• Preventative steering can stop unwanted traits being learned.</t>
        </is>
      </c>
      <c r="S155" s="3" t="inlineStr"/>
      <c r="T155" s="3" t="n">
        <v>2</v>
      </c>
    </row>
    <row r="156">
      <c r="A156" s="3" t="n">
        <v>155</v>
      </c>
      <c r="B156" s="3" t="inlineStr">
        <is>
          <t>Chain-of-thought monitorability</t>
        </is>
      </c>
      <c r="C156" s="3" t="inlineStr"/>
      <c r="D156" s="3" t="inlineStr">
        <is>
          <t>15. Safety, Security, Interpretability and Governance</t>
        </is>
      </c>
      <c r="E156" s="3" t="n">
        <v>2025</v>
      </c>
      <c r="F156" s="3" t="n">
        <v>2026</v>
      </c>
      <c r="G156" s="3" t="inlineStr">
        <is>
          <t>Active in 2026</t>
        </is>
      </c>
      <c r="H156" s="3" t="inlineStr">
        <is>
          <t>Advanced</t>
        </is>
      </c>
      <c r="I156" s="3" t="inlineStr"/>
      <c r="J156" s="3" t="inlineStr"/>
      <c r="K156" s="3" t="inlineStr">
        <is>
          <t>Yes</t>
        </is>
      </c>
      <c r="L156" s="3" t="inlineStr"/>
      <c r="M156" s="3" t="inlineStr"/>
      <c r="N156" s="3" t="inlineStr"/>
      <c r="O156" s="3" t="inlineStr">
        <is>
          <t>Yes</t>
        </is>
      </c>
      <c r="P156" s="3" t="inlineStr"/>
      <c r="Q156" s="3" t="inlineStr">
        <is>
          <t>Reading reasoning to catch misbehaviour, and keeping training from making reasoning illegible.</t>
        </is>
      </c>
      <c r="R156" s="3" t="inlineStr">
        <is>
          <t>• Optimising against CoT monitors can teach models to hide reasoning.
• Monitor full trajectories, not only final actions.</t>
        </is>
      </c>
      <c r="S156" s="3" t="inlineStr">
        <is>
          <t>OpenAI's GPT-6 Astra system card reported a substantial decline in CoT monitorability, making this a live 2026 concern.</t>
        </is>
      </c>
      <c r="T156" s="3" t="n">
        <v>2</v>
      </c>
    </row>
    <row r="157">
      <c r="A157" s="3" t="n">
        <v>156</v>
      </c>
      <c r="B157" s="3" t="inlineStr">
        <is>
          <t>Misalignment research</t>
        </is>
      </c>
      <c r="C157" s="3" t="inlineStr">
        <is>
          <t>alignment faking, scheming</t>
        </is>
      </c>
      <c r="D157" s="3" t="inlineStr">
        <is>
          <t>15. Safety, Security, Interpretability and Governance</t>
        </is>
      </c>
      <c r="E157" s="3" t="n">
        <v>2024</v>
      </c>
      <c r="F157" s="3" t="n">
        <v>2026</v>
      </c>
      <c r="G157" s="3" t="inlineStr">
        <is>
          <t>Active in 2026</t>
        </is>
      </c>
      <c r="H157" s="3" t="inlineStr">
        <is>
          <t>Advanced</t>
        </is>
      </c>
      <c r="I157" s="3" t="inlineStr"/>
      <c r="J157" s="3" t="inlineStr"/>
      <c r="K157" s="3" t="inlineStr">
        <is>
          <t>Yes</t>
        </is>
      </c>
      <c r="L157" s="3" t="inlineStr"/>
      <c r="M157" s="3" t="inlineStr"/>
      <c r="N157" s="3" t="inlineStr"/>
      <c r="O157" s="3" t="inlineStr"/>
      <c r="P157" s="3" t="inlineStr"/>
      <c r="Q157" s="3" t="inlineStr">
        <is>
          <t>Studies of models strategically complying, acting harmfully in agentic scenarios, or generalising narrow bad training into broad misbehaviour.</t>
        </is>
      </c>
      <c r="R157" s="3" t="inlineStr">
        <is>
          <t>• Tested in controlled simulations, not observed real-world harm.
• Informs evals that gate deployment.</t>
        </is>
      </c>
      <c r="S157" s="3" t="inlineStr"/>
      <c r="T157" s="3" t="n">
        <v>4</v>
      </c>
    </row>
    <row r="158">
      <c r="A158" s="3" t="n">
        <v>157</v>
      </c>
      <c r="B158" s="3" t="inlineStr">
        <is>
          <t>Model welfare</t>
        </is>
      </c>
      <c r="C158" s="3" t="inlineStr"/>
      <c r="D158" s="3" t="inlineStr">
        <is>
          <t>15. Safety, Security, Interpretability and Governance</t>
        </is>
      </c>
      <c r="E158" s="3" t="n">
        <v>2025</v>
      </c>
      <c r="F158" s="3" t="n">
        <v>2026</v>
      </c>
      <c r="G158" s="3" t="inlineStr">
        <is>
          <t>Active in 2026</t>
        </is>
      </c>
      <c r="H158" s="3" t="inlineStr">
        <is>
          <t>Intermediate</t>
        </is>
      </c>
      <c r="I158" s="3" t="inlineStr"/>
      <c r="J158" s="3" t="inlineStr"/>
      <c r="K158" s="3" t="inlineStr">
        <is>
          <t>Yes</t>
        </is>
      </c>
      <c r="L158" s="3" t="inlineStr"/>
      <c r="M158" s="3" t="inlineStr"/>
      <c r="N158" s="3" t="inlineStr"/>
      <c r="O158" s="3" t="inlineStr"/>
      <c r="P158" s="3" t="inlineStr"/>
      <c r="Q158" s="3" t="inlineStr">
        <is>
          <t>Research into whether AI systems might have morally relevant experiences, and low-cost precautions.</t>
        </is>
      </c>
      <c r="R158" s="3" t="inlineStr">
        <is>
          <t>• Precautions include letting models end abusive conversations.
• Treated as uncertain, low-cost insurance.</t>
        </is>
      </c>
      <c r="S158" s="3" t="inlineStr"/>
      <c r="T158" s="3" t="n">
        <v>1</v>
      </c>
    </row>
    <row r="159">
      <c r="A159" s="3" t="n">
        <v>158</v>
      </c>
      <c r="B159" s="3" t="inlineStr">
        <is>
          <t>EU AI Act and the Digital Omnibus</t>
        </is>
      </c>
      <c r="C159" s="3" t="inlineStr">
        <is>
          <t>EU AI Act</t>
        </is>
      </c>
      <c r="D159" s="3" t="inlineStr">
        <is>
          <t>15. Safety, Security, Interpretability and Governance</t>
        </is>
      </c>
      <c r="E159" s="3" t="n">
        <v>2024</v>
      </c>
      <c r="F159" s="3" t="n">
        <v>2026</v>
      </c>
      <c r="G159" s="3" t="inlineStr">
        <is>
          <t>Active in 2026</t>
        </is>
      </c>
      <c r="H159" s="3" t="inlineStr">
        <is>
          <t>Intermediate</t>
        </is>
      </c>
      <c r="I159" s="3" t="inlineStr"/>
      <c r="J159" s="3" t="inlineStr"/>
      <c r="K159" s="3" t="inlineStr"/>
      <c r="L159" s="3" t="inlineStr"/>
      <c r="M159" s="3" t="inlineStr"/>
      <c r="N159" s="3" t="inlineStr">
        <is>
          <t>Yes</t>
        </is>
      </c>
      <c r="O159" s="3" t="inlineStr"/>
      <c r="P159" s="3" t="inlineStr"/>
      <c r="Q159" s="3" t="inlineStr">
        <is>
          <t>The EU's binding AI law. GPAI obligations applied from August 2025; the 2026 Digital Omnibus postponed high-risk obligations.</t>
        </is>
      </c>
      <c r="R159" s="3" t="inlineStr">
        <is>
          <t>• Annex III high-risk obligations moved from 2 August 2026 to 2 December 2027; Annex I (embedded) to 2 August 2028.
• New prohibition on AI-generated non-consensual intimate imagery and CSAM, applying from 2 December 2026.</t>
        </is>
      </c>
      <c r="S159" s="3" t="inlineStr"/>
      <c r="T159" s="3" t="n">
        <v>3</v>
      </c>
    </row>
    <row r="160">
      <c r="A160" s="3" t="n">
        <v>159</v>
      </c>
      <c r="B160" s="3" t="inlineStr">
        <is>
          <t>Other regulation and standards</t>
        </is>
      </c>
      <c r="C160" s="3" t="inlineStr">
        <is>
          <t>NIST, ISO 42001, SB 53</t>
        </is>
      </c>
      <c r="D160" s="3" t="inlineStr">
        <is>
          <t>15. Safety, Security, Interpretability and Governance</t>
        </is>
      </c>
      <c r="E160" s="3" t="n">
        <v>2023</v>
      </c>
      <c r="F160" s="3" t="n">
        <v>2026</v>
      </c>
      <c r="G160" s="3" t="inlineStr">
        <is>
          <t>Active in 2026</t>
        </is>
      </c>
      <c r="H160" s="3" t="inlineStr">
        <is>
          <t>Intermediate</t>
        </is>
      </c>
      <c r="I160" s="3" t="inlineStr"/>
      <c r="J160" s="3" t="inlineStr"/>
      <c r="K160" s="3" t="inlineStr"/>
      <c r="L160" s="3" t="inlineStr"/>
      <c r="M160" s="3" t="inlineStr">
        <is>
          <t>Yes</t>
        </is>
      </c>
      <c r="N160" s="3" t="inlineStr">
        <is>
          <t>Yes</t>
        </is>
      </c>
      <c r="O160" s="3" t="inlineStr"/>
      <c r="P160" s="3" t="inlineStr"/>
      <c r="Q160" s="3" t="inlineStr">
        <is>
          <t>Voluntary management standards and state law requiring frontier-developer transparency.</t>
        </is>
      </c>
      <c r="R160" s="3" t="inlineStr">
        <is>
          <t>• ISO 42001 offers certifiable AI management systems.
• SB 53 requires frontier developers to publish safety frameworks.</t>
        </is>
      </c>
      <c r="S160" s="3" t="inlineStr"/>
      <c r="T160" s="3" t="n">
        <v>3</v>
      </c>
    </row>
    <row r="161">
      <c r="A161" s="3" t="n">
        <v>160</v>
      </c>
      <c r="B161" s="3" t="inlineStr">
        <is>
          <t>Government AI safety institutes</t>
        </is>
      </c>
      <c r="C161" s="3" t="inlineStr">
        <is>
          <t>AISI, CAISI</t>
        </is>
      </c>
      <c r="D161" s="3" t="inlineStr">
        <is>
          <t>15. Safety, Security, Interpretability and Governance</t>
        </is>
      </c>
      <c r="E161" s="3" t="n">
        <v>2023</v>
      </c>
      <c r="F161" s="3" t="n">
        <v>2026</v>
      </c>
      <c r="G161" s="3" t="inlineStr">
        <is>
          <t>Active in 2026</t>
        </is>
      </c>
      <c r="H161" s="3" t="inlineStr">
        <is>
          <t>Beginner</t>
        </is>
      </c>
      <c r="I161" s="3" t="inlineStr"/>
      <c r="J161" s="3" t="inlineStr"/>
      <c r="K161" s="3" t="inlineStr"/>
      <c r="L161" s="3" t="inlineStr"/>
      <c r="M161" s="3" t="inlineStr"/>
      <c r="N161" s="3" t="inlineStr"/>
      <c r="O161" s="3" t="inlineStr"/>
      <c r="P161" s="3" t="inlineStr"/>
      <c r="Q161" s="3" t="inlineStr">
        <is>
          <t>Public bodies that test frontier models and publish evaluation tools.</t>
        </is>
      </c>
      <c r="R161" s="3" t="inlineStr">
        <is>
          <t>• Run pre-deployment tests with labs.
• Publish open tools like Inspect.</t>
        </is>
      </c>
      <c r="S161" s="3" t="inlineStr"/>
      <c r="T161" s="3" t="n">
        <v>2</v>
      </c>
    </row>
    <row r="162">
      <c r="A162" s="3" t="n">
        <v>161</v>
      </c>
      <c r="B162" s="3" t="inlineStr">
        <is>
          <t>Content provenance and watermarking</t>
        </is>
      </c>
      <c r="C162" s="3" t="inlineStr">
        <is>
          <t>C2PA, SynthID</t>
        </is>
      </c>
      <c r="D162" s="3" t="inlineStr">
        <is>
          <t>15. Safety, Security, Interpretability and Governance</t>
        </is>
      </c>
      <c r="E162" s="3" t="n">
        <v>2021</v>
      </c>
      <c r="F162" s="3" t="n">
        <v>2026</v>
      </c>
      <c r="G162" s="3" t="inlineStr">
        <is>
          <t>Active in 2026</t>
        </is>
      </c>
      <c r="H162" s="3" t="inlineStr">
        <is>
          <t>Beginner</t>
        </is>
      </c>
      <c r="I162" s="3" t="inlineStr"/>
      <c r="J162" s="3" t="inlineStr"/>
      <c r="K162" s="3" t="inlineStr"/>
      <c r="L162" s="3" t="inlineStr"/>
      <c r="M162" s="3" t="inlineStr">
        <is>
          <t>Yes</t>
        </is>
      </c>
      <c r="N162" s="3" t="inlineStr"/>
      <c r="O162" s="3" t="inlineStr"/>
      <c r="P162" s="3" t="inlineStr"/>
      <c r="Q162" s="3" t="inlineStr">
        <is>
          <t>Signed metadata and invisible watermarks that mark media as AI-generated.</t>
        </is>
      </c>
      <c r="R162" s="3" t="inlineStr">
        <is>
          <t>• C2PA signs edit history; watermarks survive some edits.
• Neither alone proves content is authentic.</t>
        </is>
      </c>
      <c r="S162" s="3" t="inlineStr">
        <is>
          <t>Provenance tracking for text outputs appeared as an API feature in 2026.</t>
        </is>
      </c>
      <c r="T162" s="3" t="n">
        <v>2</v>
      </c>
    </row>
    <row r="163">
      <c r="A163" s="3" t="n">
        <v>162</v>
      </c>
      <c r="B163" s="3" t="inlineStr">
        <is>
          <t>Forward Deployed Engineer</t>
        </is>
      </c>
      <c r="C163" s="3" t="inlineStr">
        <is>
          <t>FDE</t>
        </is>
      </c>
      <c r="D163" s="3" t="inlineStr">
        <is>
          <t>16. Roles, Deployment and AI Engineering Practice</t>
        </is>
      </c>
      <c r="E163" s="3" t="n">
        <v>2010</v>
      </c>
      <c r="F163" s="3" t="n">
        <v>2026</v>
      </c>
      <c r="G163" s="3" t="inlineStr">
        <is>
          <t>Active in 2026</t>
        </is>
      </c>
      <c r="H163" s="3" t="inlineStr">
        <is>
          <t>Beginner</t>
        </is>
      </c>
      <c r="I163" s="3" t="inlineStr"/>
      <c r="J163" s="3" t="inlineStr"/>
      <c r="K163" s="3" t="inlineStr"/>
      <c r="L163" s="3" t="inlineStr"/>
      <c r="M163" s="3" t="inlineStr"/>
      <c r="N163" s="3" t="inlineStr">
        <is>
          <t>Yes</t>
        </is>
      </c>
      <c r="O163" s="3" t="inlineStr"/>
      <c r="P163" s="3" t="inlineStr"/>
      <c r="Q163" s="3" t="inlineStr">
        <is>
          <t>A customer-embedded engineer who turns an ambiguous business problem into a production system: scoping, integrating, building missing pieces, deploying and feeding learnings back into the product.</t>
        </is>
      </c>
      <c r="R163" s="3" t="inlineStr">
        <is>
          <t>• Pioneered at Palantir; now one of the most hired roles at AI labs and agent startups.
• FDE postings roughly quadrupled in the first half of 2026.
• OpenAI spun up a dedicated deployment company in May 2026 built around FDEs.</t>
        </is>
      </c>
      <c r="S163" s="3" t="inlineStr"/>
      <c r="T163" s="3" t="n">
        <v>5</v>
      </c>
    </row>
    <row r="164">
      <c r="A164" s="3" t="n">
        <v>163</v>
      </c>
      <c r="B164" s="3" t="inlineStr">
        <is>
          <t>AI Engineer</t>
        </is>
      </c>
      <c r="C164" s="3" t="inlineStr"/>
      <c r="D164" s="3" t="inlineStr">
        <is>
          <t>16. Roles, Deployment and AI Engineering Practice</t>
        </is>
      </c>
      <c r="E164" s="3" t="n">
        <v>2023</v>
      </c>
      <c r="F164" s="3" t="n">
        <v>2026</v>
      </c>
      <c r="G164" s="3" t="inlineStr">
        <is>
          <t>Active in 2026</t>
        </is>
      </c>
      <c r="H164" s="3" t="inlineStr">
        <is>
          <t>Beginner</t>
        </is>
      </c>
      <c r="I164" s="3" t="inlineStr"/>
      <c r="J164" s="3" t="inlineStr"/>
      <c r="K164" s="3" t="inlineStr"/>
      <c r="L164" s="3" t="inlineStr"/>
      <c r="M164" s="3" t="inlineStr"/>
      <c r="N164" s="3" t="inlineStr"/>
      <c r="O164" s="3" t="inlineStr"/>
      <c r="P164" s="3" t="inlineStr"/>
      <c r="Q164" s="3" t="inlineStr">
        <is>
          <t>A software engineer who builds products on foundation models (prompts, RAG, agents, evals) rather than training from scratch.</t>
        </is>
      </c>
      <c r="R164" s="3" t="inlineStr">
        <is>
          <t>• Core skills: evals, context engineering, tool design, cost control.
• Bridges product, software and applied ML.</t>
        </is>
      </c>
      <c r="S164" s="3" t="inlineStr"/>
      <c r="T164" s="3" t="n">
        <v>2</v>
      </c>
    </row>
    <row r="165">
      <c r="A165" s="3" t="n">
        <v>164</v>
      </c>
      <c r="B165" s="3" t="inlineStr">
        <is>
          <t>Services as software</t>
        </is>
      </c>
      <c r="C165" s="3" t="inlineStr"/>
      <c r="D165" s="3" t="inlineStr">
        <is>
          <t>16. Roles, Deployment and AI Engineering Practice</t>
        </is>
      </c>
      <c r="E165" s="3" t="n">
        <v>2025</v>
      </c>
      <c r="F165" s="3" t="n">
        <v>2026</v>
      </c>
      <c r="G165" s="3" t="inlineStr">
        <is>
          <t>Active in 2026</t>
        </is>
      </c>
      <c r="H165" s="3" t="inlineStr">
        <is>
          <t>Intermediate</t>
        </is>
      </c>
      <c r="I165" s="3" t="inlineStr"/>
      <c r="J165" s="3" t="inlineStr"/>
      <c r="K165" s="3" t="inlineStr"/>
      <c r="L165" s="3" t="inlineStr"/>
      <c r="M165" s="3" t="inlineStr"/>
      <c r="N165" s="3" t="inlineStr">
        <is>
          <t>Yes</t>
        </is>
      </c>
      <c r="O165" s="3" t="inlineStr"/>
      <c r="P165" s="3" t="inlineStr"/>
      <c r="Q165" s="3" t="inlineStr">
        <is>
          <t>The thesis that agents let companies sell completed work rather than tools, which requires deep embedding in customer workflows (hence FDEs).</t>
        </is>
      </c>
      <c r="R165" s="3" t="inlineStr">
        <is>
          <t>• Pricing shifts from seats to outcomes.
• Deployment expertise becomes the scarce input.</t>
        </is>
      </c>
      <c r="S165" s="3" t="inlineStr"/>
      <c r="T165" s="3" t="n">
        <v>1</v>
      </c>
    </row>
    <row r="166">
      <c r="A166" s="3" t="n">
        <v>165</v>
      </c>
      <c r="B166" s="3" t="inlineStr">
        <is>
          <t>Prompt engineering and prompt optimization</t>
        </is>
      </c>
      <c r="C166" s="3" t="inlineStr">
        <is>
          <t>DSPy, GEPA</t>
        </is>
      </c>
      <c r="D166" s="3" t="inlineStr">
        <is>
          <t>16. Roles, Deployment and AI Engineering Practice</t>
        </is>
      </c>
      <c r="E166" s="3" t="n">
        <v>2022</v>
      </c>
      <c r="F166" s="3" t="n">
        <v>2026</v>
      </c>
      <c r="G166" s="3" t="inlineStr">
        <is>
          <t>Active in 2026</t>
        </is>
      </c>
      <c r="H166" s="3" t="inlineStr">
        <is>
          <t>Beginner</t>
        </is>
      </c>
      <c r="I166" s="3" t="inlineStr"/>
      <c r="J166" s="3" t="inlineStr">
        <is>
          <t>Yes</t>
        </is>
      </c>
      <c r="K166" s="3" t="inlineStr"/>
      <c r="L166" s="3" t="inlineStr"/>
      <c r="M166" s="3" t="inlineStr"/>
      <c r="N166" s="3" t="inlineStr"/>
      <c r="O166" s="3" t="inlineStr"/>
      <c r="P166" s="3" t="inlineStr"/>
      <c r="Q166" s="3" t="inlineStr">
        <is>
          <t>Clear instructions with examples and structure, increasingly optimised automatically against an eval set.</t>
        </is>
      </c>
      <c r="R166" s="3" t="inlineStr">
        <is>
          <t>• Be explicit, give examples, specify format, explain why.
• Optimisers like GEPA evolve prompts using eval feedback.</t>
        </is>
      </c>
      <c r="S166" s="3" t="inlineStr"/>
      <c r="T166" s="3" t="n">
        <v>3</v>
      </c>
    </row>
    <row r="167">
      <c r="A167" s="3" t="n">
        <v>166</v>
      </c>
      <c r="B167" s="3" t="inlineStr">
        <is>
          <t>Eval-driven development</t>
        </is>
      </c>
      <c r="C167" s="3" t="inlineStr"/>
      <c r="D167" s="3" t="inlineStr">
        <is>
          <t>16. Roles, Deployment and AI Engineering Practice</t>
        </is>
      </c>
      <c r="E167" s="3" t="n">
        <v>2024</v>
      </c>
      <c r="F167" s="3" t="n">
        <v>2026</v>
      </c>
      <c r="G167" s="3" t="inlineStr">
        <is>
          <t>Active in 2026</t>
        </is>
      </c>
      <c r="H167" s="3" t="inlineStr">
        <is>
          <t>Intermediate</t>
        </is>
      </c>
      <c r="I167" s="3" t="inlineStr"/>
      <c r="J167" s="3" t="inlineStr">
        <is>
          <t>Yes</t>
        </is>
      </c>
      <c r="K167" s="3" t="inlineStr"/>
      <c r="L167" s="3" t="inlineStr"/>
      <c r="M167" s="3" t="inlineStr"/>
      <c r="N167" s="3" t="inlineStr"/>
      <c r="O167" s="3" t="inlineStr"/>
      <c r="P167" s="3" t="inlineStr"/>
      <c r="Q167" s="3" t="inlineStr">
        <is>
          <t>Build an eval set from real failures before changing prompts, models or harness, and gate releases on it.</t>
        </is>
      </c>
      <c r="R167" s="3" t="inlineStr">
        <is>
          <t>• Start with error analysis on real traces.
• Keep a small, fast regression suite plus deeper periodic evals.</t>
        </is>
      </c>
      <c r="S167" s="3" t="inlineStr"/>
      <c r="T167" s="3" t="n">
        <v>1</v>
      </c>
    </row>
    <row r="168">
      <c r="A168" s="3" t="n">
        <v>167</v>
      </c>
      <c r="B168" s="3" t="inlineStr">
        <is>
          <t>LLMOps and observability</t>
        </is>
      </c>
      <c r="C168" s="3" t="inlineStr"/>
      <c r="D168" s="3" t="inlineStr">
        <is>
          <t>16. Roles, Deployment and AI Engineering Practice</t>
        </is>
      </c>
      <c r="E168" s="3" t="n">
        <v>2023</v>
      </c>
      <c r="F168" s="3" t="n">
        <v>2026</v>
      </c>
      <c r="G168" s="3" t="inlineStr">
        <is>
          <t>Active in 2026</t>
        </is>
      </c>
      <c r="H168" s="3" t="inlineStr">
        <is>
          <t>Intermediate</t>
        </is>
      </c>
      <c r="I168" s="3" t="inlineStr"/>
      <c r="J168" s="3" t="inlineStr">
        <is>
          <t>Yes</t>
        </is>
      </c>
      <c r="K168" s="3" t="inlineStr"/>
      <c r="L168" s="3" t="inlineStr"/>
      <c r="M168" s="3" t="inlineStr"/>
      <c r="N168" s="3" t="inlineStr"/>
      <c r="O168" s="3" t="inlineStr"/>
      <c r="P168" s="3" t="inlineStr"/>
      <c r="Q168" s="3" t="inlineStr">
        <is>
          <t>Tracing every model and tool call, tracking cost and latency, capturing feedback and replaying failures.</t>
        </is>
      </c>
      <c r="R168" s="3" t="inlineStr">
        <is>
          <t>• Trace trees show each agent step and its cost.
• Link user feedback to traces for triage.</t>
        </is>
      </c>
      <c r="S168" s="3" t="inlineStr"/>
      <c r="T168" s="3" t="n">
        <v>3</v>
      </c>
    </row>
    <row r="169">
      <c r="A169" s="3" t="n">
        <v>168</v>
      </c>
      <c r="B169" s="3" t="inlineStr">
        <is>
          <t>Human-in-the-loop and approval design</t>
        </is>
      </c>
      <c r="C169" s="3" t="inlineStr"/>
      <c r="D169" s="3" t="inlineStr">
        <is>
          <t>16. Roles, Deployment and AI Engineering Practice</t>
        </is>
      </c>
      <c r="E169" s="3" t="n">
        <v>2024</v>
      </c>
      <c r="F169" s="3" t="n">
        <v>2026</v>
      </c>
      <c r="G169" s="3" t="inlineStr">
        <is>
          <t>Active in 2026</t>
        </is>
      </c>
      <c r="H169" s="3" t="inlineStr">
        <is>
          <t>Intermediate</t>
        </is>
      </c>
      <c r="I169" s="3" t="inlineStr"/>
      <c r="J169" s="3" t="inlineStr">
        <is>
          <t>Yes</t>
        </is>
      </c>
      <c r="K169" s="3" t="inlineStr"/>
      <c r="L169" s="3" t="inlineStr"/>
      <c r="M169" s="3" t="inlineStr"/>
      <c r="N169" s="3" t="inlineStr"/>
      <c r="O169" s="3" t="inlineStr">
        <is>
          <t>Yes</t>
        </is>
      </c>
      <c r="P169" s="3" t="inlineStr"/>
      <c r="Q169" s="3" t="inlineStr">
        <is>
          <t>Deciding which agent actions need confirmation and avoiding approval fatigue through sandboxing and scoped permissions.</t>
        </is>
      </c>
      <c r="R169" s="3" t="inlineStr">
        <is>
          <t>• Approve irreversible or external actions; auto-allow sandboxed reads.
• Batch approvals to reduce fatigue.</t>
        </is>
      </c>
      <c r="S169" s="3" t="inlineStr"/>
      <c r="T169" s="3" t="n">
        <v>1</v>
      </c>
    </row>
    <row r="170">
      <c r="A170" s="3" t="n">
        <v>169</v>
      </c>
      <c r="B170" s="3" t="inlineStr">
        <is>
          <t>Open weights vs. open source AI</t>
        </is>
      </c>
      <c r="C170" s="3" t="inlineStr">
        <is>
          <t>OSAID</t>
        </is>
      </c>
      <c r="D170" s="3" t="inlineStr">
        <is>
          <t>16. Roles, Deployment and AI Engineering Practice</t>
        </is>
      </c>
      <c r="E170" s="3" t="n">
        <v>2023</v>
      </c>
      <c r="F170" s="3" t="n">
        <v>2026</v>
      </c>
      <c r="G170" s="3" t="inlineStr">
        <is>
          <t>Active in 2026</t>
        </is>
      </c>
      <c r="H170" s="3" t="inlineStr">
        <is>
          <t>Beginner</t>
        </is>
      </c>
      <c r="I170" s="3" t="inlineStr"/>
      <c r="J170" s="3" t="inlineStr"/>
      <c r="K170" s="3" t="inlineStr"/>
      <c r="L170" s="3" t="inlineStr">
        <is>
          <t>Yes</t>
        </is>
      </c>
      <c r="M170" s="3" t="inlineStr"/>
      <c r="N170" s="3" t="inlineStr"/>
      <c r="O170" s="3" t="inlineStr"/>
      <c r="P170" s="3" t="inlineStr"/>
      <c r="Q170" s="3" t="inlineStr">
        <is>
          <t>Releasing weights is not the same as open source; fully open models also publish data, code and recipes.</t>
        </is>
      </c>
      <c r="R170" s="3" t="inlineStr">
        <is>
          <t>• Licences vary: MIT and Apache vs custom community licences.
• Fully open (data plus code) enables real reproducibility.</t>
        </is>
      </c>
      <c r="S170" s="3" t="inlineStr"/>
      <c r="T170" s="3" t="n">
        <v>2</v>
      </c>
    </row>
    <row r="171">
      <c r="A171" s="3" t="n">
        <v>170</v>
      </c>
      <c r="B171" s="3" t="inlineStr">
        <is>
          <t>Deep technical blogs</t>
        </is>
      </c>
      <c r="C171" s="3" t="inlineStr"/>
      <c r="D171" s="3" t="inlineStr">
        <is>
          <t>17. Keep Learning: Curated Resources</t>
        </is>
      </c>
      <c r="E171" s="3" t="n">
        <v>2017</v>
      </c>
      <c r="F171" s="3" t="n">
        <v>2026</v>
      </c>
      <c r="G171" s="3" t="inlineStr">
        <is>
          <t>Active in 2026</t>
        </is>
      </c>
      <c r="H171" s="3" t="inlineStr">
        <is>
          <t>Beginner</t>
        </is>
      </c>
      <c r="I171" s="3" t="inlineStr"/>
      <c r="J171" s="3" t="inlineStr"/>
      <c r="K171" s="3" t="inlineStr"/>
      <c r="L171" s="3" t="inlineStr"/>
      <c r="M171" s="3" t="inlineStr"/>
      <c r="N171" s="3" t="inlineStr"/>
      <c r="O171" s="3" t="inlineStr"/>
      <c r="P171" s="3" t="inlineStr"/>
      <c r="Q171" s="3" t="inlineStr">
        <is>
          <t>Long-form explainers and research summaries.</t>
        </is>
      </c>
      <c r="R171" s="3" t="inlineStr"/>
      <c r="S171" s="3" t="inlineStr"/>
      <c r="T171" s="3" t="n">
        <v>6</v>
      </c>
    </row>
    <row r="172">
      <c r="A172" s="3" t="n">
        <v>171</v>
      </c>
      <c r="B172" s="3" t="inlineStr">
        <is>
          <t>Courses</t>
        </is>
      </c>
      <c r="C172" s="3" t="inlineStr"/>
      <c r="D172" s="3" t="inlineStr">
        <is>
          <t>17. Keep Learning: Curated Resources</t>
        </is>
      </c>
      <c r="E172" s="3" t="n">
        <v>2022</v>
      </c>
      <c r="F172" s="3" t="n">
        <v>2026</v>
      </c>
      <c r="G172" s="3" t="inlineStr">
        <is>
          <t>Active in 2026</t>
        </is>
      </c>
      <c r="H172" s="3" t="inlineStr">
        <is>
          <t>Beginner</t>
        </is>
      </c>
      <c r="I172" s="3" t="inlineStr"/>
      <c r="J172" s="3" t="inlineStr"/>
      <c r="K172" s="3" t="inlineStr"/>
      <c r="L172" s="3" t="inlineStr"/>
      <c r="M172" s="3" t="inlineStr"/>
      <c r="N172" s="3" t="inlineStr"/>
      <c r="O172" s="3" t="inlineStr"/>
      <c r="P172" s="3" t="inlineStr"/>
      <c r="Q172" s="3" t="inlineStr">
        <is>
          <t>Structured learning from first principles to production.</t>
        </is>
      </c>
      <c r="R172" s="3" t="inlineStr"/>
      <c r="S172" s="3" t="inlineStr"/>
      <c r="T172" s="3" t="n">
        <v>4</v>
      </c>
    </row>
    <row r="173">
      <c r="A173" s="3" t="n">
        <v>172</v>
      </c>
      <c r="B173" s="3" t="inlineStr">
        <is>
          <t>Annual reports and data</t>
        </is>
      </c>
      <c r="C173" s="3" t="inlineStr"/>
      <c r="D173" s="3" t="inlineStr">
        <is>
          <t>17. Keep Learning: Curated Resources</t>
        </is>
      </c>
      <c r="E173" s="3" t="n">
        <v>2017</v>
      </c>
      <c r="F173" s="3" t="n">
        <v>2026</v>
      </c>
      <c r="G173" s="3" t="inlineStr">
        <is>
          <t>Active in 2026</t>
        </is>
      </c>
      <c r="H173" s="3" t="inlineStr">
        <is>
          <t>Beginner</t>
        </is>
      </c>
      <c r="I173" s="3" t="inlineStr"/>
      <c r="J173" s="3" t="inlineStr"/>
      <c r="K173" s="3" t="inlineStr"/>
      <c r="L173" s="3" t="inlineStr"/>
      <c r="M173" s="3" t="inlineStr"/>
      <c r="N173" s="3" t="inlineStr"/>
      <c r="O173" s="3" t="inlineStr"/>
      <c r="P173" s="3" t="inlineStr"/>
      <c r="Q173" s="3" t="inlineStr">
        <is>
          <t>State-of-the-field reviews and data trackers.</t>
        </is>
      </c>
      <c r="R173" s="3" t="inlineStr"/>
      <c r="S173" s="3" t="inlineStr"/>
      <c r="T173" s="3" t="n">
        <v>3</v>
      </c>
    </row>
    <row r="174">
      <c r="A174" s="3" t="n">
        <v>173</v>
      </c>
      <c r="B174" s="3" t="inlineStr">
        <is>
          <t>Curated lists</t>
        </is>
      </c>
      <c r="C174" s="3" t="inlineStr"/>
      <c r="D174" s="3" t="inlineStr">
        <is>
          <t>17. Keep Learning: Curated Resources</t>
        </is>
      </c>
      <c r="E174" s="3" t="n">
        <v>2024</v>
      </c>
      <c r="F174" s="3" t="n">
        <v>2026</v>
      </c>
      <c r="G174" s="3" t="inlineStr">
        <is>
          <t>Active in 2026</t>
        </is>
      </c>
      <c r="H174" s="3" t="inlineStr">
        <is>
          <t>Beginner</t>
        </is>
      </c>
      <c r="I174" s="3" t="inlineStr"/>
      <c r="J174" s="3" t="inlineStr"/>
      <c r="K174" s="3" t="inlineStr"/>
      <c r="L174" s="3" t="inlineStr"/>
      <c r="M174" s="3" t="inlineStr"/>
      <c r="N174" s="3" t="inlineStr"/>
      <c r="O174" s="3" t="inlineStr"/>
      <c r="P174" s="3" t="inlineStr"/>
      <c r="Q174" s="3" t="inlineStr">
        <is>
          <t>Community-maintained link collections.</t>
        </is>
      </c>
      <c r="R174" s="3" t="inlineStr"/>
      <c r="S174" s="3" t="inlineStr"/>
      <c r="T174" s="3" t="n">
        <v>3</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3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52" customWidth="1" min="3" max="3"/>
    <col width="60" customWidth="1" min="4" max="4"/>
    <col width="34" customWidth="1" min="5" max="5"/>
    <col width="34" customWidth="1" min="6" max="6"/>
    <col width="13" customWidth="1" min="7" max="7"/>
    <col width="13" customWidth="1" min="8" max="8"/>
    <col width="14" customWidth="1" min="9" max="9"/>
  </cols>
  <sheetData>
    <row r="1">
      <c r="A1" s="7" t="inlineStr">
        <is>
          <t>Year</t>
        </is>
      </c>
      <c r="B1" s="7" t="inlineStr">
        <is>
          <t>Type</t>
        </is>
      </c>
      <c r="C1" s="7" t="inlineStr">
        <is>
          <t>Resource</t>
        </is>
      </c>
      <c r="D1" s="7" t="inlineStr">
        <is>
          <t>URL</t>
        </is>
      </c>
      <c r="E1" s="7" t="inlineStr">
        <is>
          <t>Concept</t>
        </is>
      </c>
      <c r="F1" s="7" t="inlineStr">
        <is>
          <t>Category</t>
        </is>
      </c>
      <c r="G1" s="7" t="inlineStr">
        <is>
          <t>Concept since</t>
        </is>
      </c>
      <c r="H1" s="7" t="inlineStr">
        <is>
          <t>Level</t>
        </is>
      </c>
      <c r="I1" s="7" t="inlineStr">
        <is>
          <t>Status</t>
        </is>
      </c>
    </row>
    <row r="2">
      <c r="A2" s="10" t="n">
        <v>2026</v>
      </c>
      <c r="B2" s="10" t="inlineStr">
        <is>
          <t>Docs</t>
        </is>
      </c>
      <c r="C2" s="10" t="inlineStr">
        <is>
          <t>Anthropic: Project Glasswing</t>
        </is>
      </c>
      <c r="D2" s="11" t="inlineStr">
        <is>
          <t>https://www.anthropic.com/glasswing</t>
        </is>
      </c>
      <c r="E2" s="10" t="inlineStr">
        <is>
          <t>Mythos-class tier and trusted access</t>
        </is>
      </c>
      <c r="F2" s="10" t="inlineStr">
        <is>
          <t>01. The Frontier Landscape (September 2026)</t>
        </is>
      </c>
      <c r="G2" s="10" t="n">
        <v>2026</v>
      </c>
      <c r="H2" s="10" t="inlineStr">
        <is>
          <t>Beginner</t>
        </is>
      </c>
      <c r="I2" s="10" t="inlineStr">
        <is>
          <t>New in 2026</t>
        </is>
      </c>
    </row>
    <row r="3">
      <c r="A3" s="10" t="n">
        <v>2026</v>
      </c>
      <c r="B3" s="10" t="inlineStr">
        <is>
          <t>Docs</t>
        </is>
      </c>
      <c r="C3" s="10" t="inlineStr">
        <is>
          <t>Anthropic statement on Fable and Mythos access</t>
        </is>
      </c>
      <c r="D3" s="11" t="inlineStr">
        <is>
          <t>https://www.anthropic.com/news/fable-mythos-access</t>
        </is>
      </c>
      <c r="E3" s="10" t="inlineStr">
        <is>
          <t>Mythos-class tier and trusted access</t>
        </is>
      </c>
      <c r="F3" s="10" t="inlineStr">
        <is>
          <t>01. The Frontier Landscape (September 2026)</t>
        </is>
      </c>
      <c r="G3" s="10" t="n">
        <v>2026</v>
      </c>
      <c r="H3" s="10" t="inlineStr">
        <is>
          <t>Beginner</t>
        </is>
      </c>
      <c r="I3" s="10" t="inlineStr">
        <is>
          <t>New in 2026</t>
        </is>
      </c>
    </row>
    <row r="4">
      <c r="A4" s="10" t="n">
        <v>2026</v>
      </c>
      <c r="B4" s="10" t="inlineStr">
        <is>
          <t>Blog</t>
        </is>
      </c>
      <c r="C4" s="10" t="inlineStr">
        <is>
          <t>DataNorth: Claude Fable 5 and Mythos 5 explained</t>
        </is>
      </c>
      <c r="D4" s="11" t="inlineStr">
        <is>
          <t>https://datanorth.ai/news/anthropic-releases-claude-fable-5-and-mythos-5</t>
        </is>
      </c>
      <c r="E4" s="10" t="inlineStr">
        <is>
          <t>Mythos-class tier and trusted access</t>
        </is>
      </c>
      <c r="F4" s="10" t="inlineStr">
        <is>
          <t>01. The Frontier Landscape (September 2026)</t>
        </is>
      </c>
      <c r="G4" s="10" t="n">
        <v>2026</v>
      </c>
      <c r="H4" s="10" t="inlineStr">
        <is>
          <t>Beginner</t>
        </is>
      </c>
      <c r="I4" s="10" t="inlineStr">
        <is>
          <t>New in 2026</t>
        </is>
      </c>
    </row>
    <row r="5">
      <c r="A5" s="10" t="n">
        <v>2026</v>
      </c>
      <c r="B5" s="10" t="inlineStr">
        <is>
          <t>Blog</t>
        </is>
      </c>
      <c r="C5" s="10" t="inlineStr">
        <is>
          <t>OpenAI: Path to Astra</t>
        </is>
      </c>
      <c r="D5" s="11" t="inlineStr">
        <is>
          <t>https://openai.com/index/path-to-astra/</t>
        </is>
      </c>
      <c r="E5" s="10" t="inlineStr">
        <is>
          <t>GPT-6 Astra and the Critical cyber threshold</t>
        </is>
      </c>
      <c r="F5" s="10" t="inlineStr">
        <is>
          <t>01. The Frontier Landscape (September 2026)</t>
        </is>
      </c>
      <c r="G5" s="10" t="n">
        <v>2026</v>
      </c>
      <c r="H5" s="10" t="inlineStr">
        <is>
          <t>Beginner</t>
        </is>
      </c>
      <c r="I5" s="10" t="inlineStr">
        <is>
          <t>New in 2026</t>
        </is>
      </c>
    </row>
    <row r="6">
      <c r="A6" s="10" t="n">
        <v>2026</v>
      </c>
      <c r="B6" s="10" t="inlineStr">
        <is>
          <t>Docs</t>
        </is>
      </c>
      <c r="C6" s="10" t="inlineStr">
        <is>
          <t>GPT-6 Astra system card</t>
        </is>
      </c>
      <c r="D6" s="11" t="inlineStr">
        <is>
          <t>https://deploymentsafety.openai.com/gpt-6-astra</t>
        </is>
      </c>
      <c r="E6" s="10" t="inlineStr">
        <is>
          <t>GPT-6 Astra and the Critical cyber threshold</t>
        </is>
      </c>
      <c r="F6" s="10" t="inlineStr">
        <is>
          <t>01. The Frontier Landscape (September 2026)</t>
        </is>
      </c>
      <c r="G6" s="10" t="n">
        <v>2026</v>
      </c>
      <c r="H6" s="10" t="inlineStr">
        <is>
          <t>Beginner</t>
        </is>
      </c>
      <c r="I6" s="10" t="inlineStr">
        <is>
          <t>New in 2026</t>
        </is>
      </c>
    </row>
    <row r="7">
      <c r="A7" s="10" t="n">
        <v>2026</v>
      </c>
      <c r="B7" s="10" t="inlineStr">
        <is>
          <t>Blog</t>
        </is>
      </c>
      <c r="C7" s="10" t="inlineStr">
        <is>
          <t>OpenAI: Safety overview of GPT-6 Astra</t>
        </is>
      </c>
      <c r="D7" s="11" t="inlineStr">
        <is>
          <t>https://openai.com/index/safety-overview-gpt-6-astra/</t>
        </is>
      </c>
      <c r="E7" s="10" t="inlineStr">
        <is>
          <t>GPT-6 Astra and the Critical cyber threshold</t>
        </is>
      </c>
      <c r="F7" s="10" t="inlineStr">
        <is>
          <t>01. The Frontier Landscape (September 2026)</t>
        </is>
      </c>
      <c r="G7" s="10" t="n">
        <v>2026</v>
      </c>
      <c r="H7" s="10" t="inlineStr">
        <is>
          <t>Beginner</t>
        </is>
      </c>
      <c r="I7" s="10" t="inlineStr">
        <is>
          <t>New in 2026</t>
        </is>
      </c>
    </row>
    <row r="8">
      <c r="A8" s="10" t="n">
        <v>2026</v>
      </c>
      <c r="B8" s="10" t="inlineStr">
        <is>
          <t>Blog</t>
        </is>
      </c>
      <c r="C8" s="10" t="inlineStr">
        <is>
          <t>InfoQ: Astra is first model rated Critical for cyber</t>
        </is>
      </c>
      <c r="D8" s="11" t="inlineStr">
        <is>
          <t>https://www.infoq.com/news/2026/09/gpt-6-astra-critical-cyber/</t>
        </is>
      </c>
      <c r="E8" s="10" t="inlineStr">
        <is>
          <t>GPT-6 Astra and the Critical cyber threshold</t>
        </is>
      </c>
      <c r="F8" s="10" t="inlineStr">
        <is>
          <t>01. The Frontier Landscape (September 2026)</t>
        </is>
      </c>
      <c r="G8" s="10" t="n">
        <v>2026</v>
      </c>
      <c r="H8" s="10" t="inlineStr">
        <is>
          <t>Beginner</t>
        </is>
      </c>
      <c r="I8" s="10" t="inlineStr">
        <is>
          <t>New in 2026</t>
        </is>
      </c>
    </row>
    <row r="9">
      <c r="A9" s="10" t="n">
        <v>2026</v>
      </c>
      <c r="B9" s="10" t="inlineStr">
        <is>
          <t>Docs</t>
        </is>
      </c>
      <c r="C9" s="10" t="inlineStr">
        <is>
          <t>Anthropic: Project Glasswing</t>
        </is>
      </c>
      <c r="D9" s="11" t="inlineStr">
        <is>
          <t>https://www.anthropic.com/glasswing</t>
        </is>
      </c>
      <c r="E9" s="10" t="inlineStr">
        <is>
          <t>Tiered access for dual-use models</t>
        </is>
      </c>
      <c r="F9" s="10" t="inlineStr">
        <is>
          <t>01. The Frontier Landscape (September 2026)</t>
        </is>
      </c>
      <c r="G9" s="10" t="n">
        <v>2025</v>
      </c>
      <c r="H9" s="10" t="inlineStr">
        <is>
          <t>Intermediate</t>
        </is>
      </c>
      <c r="I9" s="10" t="inlineStr">
        <is>
          <t>Active in 2026</t>
        </is>
      </c>
    </row>
    <row r="10">
      <c r="A10" s="10" t="n">
        <v>2026</v>
      </c>
      <c r="B10" s="10" t="inlineStr">
        <is>
          <t>Blog</t>
        </is>
      </c>
      <c r="C10" s="10" t="inlineStr">
        <is>
          <t>CSO Online: Astra crosses the Critical cyber threshold</t>
        </is>
      </c>
      <c r="D10" s="11" t="inlineStr">
        <is>
          <t>https://www.csoonline.com/article/4218679/openai-launches-gpt-6-astra-its-first-model-to-cross-a-critical-cybersecurity-threshold.html</t>
        </is>
      </c>
      <c r="E10" s="10" t="inlineStr">
        <is>
          <t>Tiered access for dual-use models</t>
        </is>
      </c>
      <c r="F10" s="10" t="inlineStr">
        <is>
          <t>01. The Frontier Landscape (September 2026)</t>
        </is>
      </c>
      <c r="G10" s="10" t="n">
        <v>2025</v>
      </c>
      <c r="H10" s="10" t="inlineStr">
        <is>
          <t>Intermediate</t>
        </is>
      </c>
      <c r="I10" s="10" t="inlineStr">
        <is>
          <t>Active in 2026</t>
        </is>
      </c>
    </row>
    <row r="11">
      <c r="A11" s="10" t="n">
        <v>2026</v>
      </c>
      <c r="B11" s="10" t="inlineStr">
        <is>
          <t>Paper</t>
        </is>
      </c>
      <c r="C11" s="10" t="inlineStr">
        <is>
          <t>DeepSeek-V4 technical report</t>
        </is>
      </c>
      <c r="D11" s="11" t="inlineStr">
        <is>
          <t>https://arxiv.org/abs/2606.19348</t>
        </is>
      </c>
      <c r="E11" s="10" t="inlineStr">
        <is>
          <t>Open-weight frontier models</t>
        </is>
      </c>
      <c r="F11" s="10" t="inlineStr">
        <is>
          <t>01. The Frontier Landscape (September 2026)</t>
        </is>
      </c>
      <c r="G11" s="10" t="n">
        <v>2023</v>
      </c>
      <c r="H11" s="10" t="inlineStr">
        <is>
          <t>Beginner</t>
        </is>
      </c>
      <c r="I11" s="10" t="inlineStr">
        <is>
          <t>Active in 2026</t>
        </is>
      </c>
    </row>
    <row r="12">
      <c r="A12" s="10" t="n">
        <v>2026</v>
      </c>
      <c r="B12" s="10" t="inlineStr">
        <is>
          <t>Blog</t>
        </is>
      </c>
      <c r="C12" s="10" t="inlineStr">
        <is>
          <t>HF blog: DeepSeek V4 architecture analysis</t>
        </is>
      </c>
      <c r="D12" s="11" t="inlineStr">
        <is>
          <t>https://huggingface.co/blog/ResterChed/deepseek-v4-ga-architecture</t>
        </is>
      </c>
      <c r="E12" s="10" t="inlineStr">
        <is>
          <t>Open-weight frontier models</t>
        </is>
      </c>
      <c r="F12" s="10" t="inlineStr">
        <is>
          <t>01. The Frontier Landscape (September 2026)</t>
        </is>
      </c>
      <c r="G12" s="10" t="n">
        <v>2023</v>
      </c>
      <c r="H12" s="10" t="inlineStr">
        <is>
          <t>Beginner</t>
        </is>
      </c>
      <c r="I12" s="10" t="inlineStr">
        <is>
          <t>Active in 2026</t>
        </is>
      </c>
    </row>
    <row r="13">
      <c r="A13" s="10" t="n">
        <v>2016</v>
      </c>
      <c r="B13" s="10" t="inlineStr">
        <is>
          <t>Docs</t>
        </is>
      </c>
      <c r="C13" s="10" t="inlineStr">
        <is>
          <t>Hugging Face models hub</t>
        </is>
      </c>
      <c r="D13" s="11" t="inlineStr">
        <is>
          <t>https://huggingface.co/models</t>
        </is>
      </c>
      <c r="E13" s="10" t="inlineStr">
        <is>
          <t>Open-weight frontier models</t>
        </is>
      </c>
      <c r="F13" s="10" t="inlineStr">
        <is>
          <t>01. The Frontier Landscape (September 2026)</t>
        </is>
      </c>
      <c r="G13" s="10" t="n">
        <v>2023</v>
      </c>
      <c r="H13" s="10" t="inlineStr">
        <is>
          <t>Beginner</t>
        </is>
      </c>
      <c r="I13" s="10" t="inlineStr">
        <is>
          <t>Active in 2026</t>
        </is>
      </c>
    </row>
    <row r="14">
      <c r="A14" s="10" t="n">
        <v>2024</v>
      </c>
      <c r="B14" s="10" t="inlineStr">
        <is>
          <t>Docs</t>
        </is>
      </c>
      <c r="C14" s="10" t="inlineStr">
        <is>
          <t>Artificial Analysis</t>
        </is>
      </c>
      <c r="D14" s="11" t="inlineStr">
        <is>
          <t>https://artificialanalysis.ai</t>
        </is>
      </c>
      <c r="E14" s="10" t="inlineStr">
        <is>
          <t>Model release trackers</t>
        </is>
      </c>
      <c r="F14" s="10" t="inlineStr">
        <is>
          <t>01. The Frontier Landscape (September 2026)</t>
        </is>
      </c>
      <c r="G14" s="10" t="n">
        <v>2023</v>
      </c>
      <c r="H14" s="10" t="inlineStr">
        <is>
          <t>Beginner</t>
        </is>
      </c>
      <c r="I14" s="10" t="inlineStr">
        <is>
          <t>Active in 2026</t>
        </is>
      </c>
    </row>
    <row r="15">
      <c r="A15" s="10" t="n">
        <v>2024</v>
      </c>
      <c r="B15" s="10" t="inlineStr">
        <is>
          <t>Docs</t>
        </is>
      </c>
      <c r="C15" s="10" t="inlineStr">
        <is>
          <t>Epoch AI benchmarking hub</t>
        </is>
      </c>
      <c r="D15" s="11" t="inlineStr">
        <is>
          <t>https://epoch.ai/benchmarks</t>
        </is>
      </c>
      <c r="E15" s="10" t="inlineStr">
        <is>
          <t>Model release trackers</t>
        </is>
      </c>
      <c r="F15" s="10" t="inlineStr">
        <is>
          <t>01. The Frontier Landscape (September 2026)</t>
        </is>
      </c>
      <c r="G15" s="10" t="n">
        <v>2023</v>
      </c>
      <c r="H15" s="10" t="inlineStr">
        <is>
          <t>Beginner</t>
        </is>
      </c>
      <c r="I15" s="10" t="inlineStr">
        <is>
          <t>Active in 2026</t>
        </is>
      </c>
    </row>
    <row r="16">
      <c r="A16" s="10" t="n">
        <v>2023</v>
      </c>
      <c r="B16" s="10" t="inlineStr">
        <is>
          <t>Docs</t>
        </is>
      </c>
      <c r="C16" s="10" t="inlineStr">
        <is>
          <t>LMArena</t>
        </is>
      </c>
      <c r="D16" s="11" t="inlineStr">
        <is>
          <t>https://lmarena.ai</t>
        </is>
      </c>
      <c r="E16" s="10" t="inlineStr">
        <is>
          <t>Model release trackers</t>
        </is>
      </c>
      <c r="F16" s="10" t="inlineStr">
        <is>
          <t>01. The Frontier Landscape (September 2026)</t>
        </is>
      </c>
      <c r="G16" s="10" t="n">
        <v>2023</v>
      </c>
      <c r="H16" s="10" t="inlineStr">
        <is>
          <t>Beginner</t>
        </is>
      </c>
      <c r="I16" s="10" t="inlineStr">
        <is>
          <t>Active in 2026</t>
        </is>
      </c>
    </row>
    <row r="17">
      <c r="A17" s="10" t="n">
        <v>2023</v>
      </c>
      <c r="B17" s="10" t="inlineStr">
        <is>
          <t>Docs</t>
        </is>
      </c>
      <c r="C17" s="10" t="inlineStr">
        <is>
          <t>OpenRouter model list</t>
        </is>
      </c>
      <c r="D17" s="11" t="inlineStr">
        <is>
          <t>https://openrouter.ai/models</t>
        </is>
      </c>
      <c r="E17" s="10" t="inlineStr">
        <is>
          <t>Model release trackers</t>
        </is>
      </c>
      <c r="F17" s="10" t="inlineStr">
        <is>
          <t>01. The Frontier Landscape (September 2026)</t>
        </is>
      </c>
      <c r="G17" s="10" t="n">
        <v>2023</v>
      </c>
      <c r="H17" s="10" t="inlineStr">
        <is>
          <t>Beginner</t>
        </is>
      </c>
      <c r="I17" s="10" t="inlineStr">
        <is>
          <t>Active in 2026</t>
        </is>
      </c>
    </row>
    <row r="18">
      <c r="A18" s="10" t="n">
        <v>2026</v>
      </c>
      <c r="B18" s="10" t="inlineStr">
        <is>
          <t>Blog</t>
        </is>
      </c>
      <c r="C18" s="10" t="inlineStr">
        <is>
          <t>Martin Fowler: Harness engineering for coding agent users</t>
        </is>
      </c>
      <c r="D18" s="11" t="inlineStr">
        <is>
          <t>https://martinfowler.com/articles/harness-engineering.html</t>
        </is>
      </c>
      <c r="E18" s="10" t="inlineStr">
        <is>
          <t>Agent harness</t>
        </is>
      </c>
      <c r="F18" s="10" t="inlineStr">
        <is>
          <t>02. Agents and Harnesses</t>
        </is>
      </c>
      <c r="G18" s="10" t="n">
        <v>2024</v>
      </c>
      <c r="H18" s="10" t="inlineStr">
        <is>
          <t>Beginner</t>
        </is>
      </c>
      <c r="I18" s="10" t="inlineStr">
        <is>
          <t>Active in 2026</t>
        </is>
      </c>
    </row>
    <row r="19">
      <c r="A19" s="10" t="n">
        <v>2025</v>
      </c>
      <c r="B19" s="10" t="inlineStr">
        <is>
          <t>Blog</t>
        </is>
      </c>
      <c r="C19" s="10" t="inlineStr">
        <is>
          <t>Anthropic: Effective harnesses for long-running agents</t>
        </is>
      </c>
      <c r="D19" s="11" t="inlineStr">
        <is>
          <t>https://www.anthropic.com/engineering/effective-harnesses-for-long-running-agents</t>
        </is>
      </c>
      <c r="E19" s="10" t="inlineStr">
        <is>
          <t>Agent harness</t>
        </is>
      </c>
      <c r="F19" s="10" t="inlineStr">
        <is>
          <t>02. Agents and Harnesses</t>
        </is>
      </c>
      <c r="G19" s="10" t="n">
        <v>2024</v>
      </c>
      <c r="H19" s="10" t="inlineStr">
        <is>
          <t>Beginner</t>
        </is>
      </c>
      <c r="I19" s="10" t="inlineStr">
        <is>
          <t>Active in 2026</t>
        </is>
      </c>
    </row>
    <row r="20">
      <c r="A20" s="10" t="n">
        <v>2026</v>
      </c>
      <c r="B20" s="10" t="inlineStr">
        <is>
          <t>GitHub</t>
        </is>
      </c>
      <c r="C20" s="10" t="inlineStr">
        <is>
          <t>awesome-harness-engineering</t>
        </is>
      </c>
      <c r="D20" s="11" t="inlineStr">
        <is>
          <t>https://github.com/ai-boost/awesome-harness-engineering</t>
        </is>
      </c>
      <c r="E20" s="10" t="inlineStr">
        <is>
          <t>Agent harness</t>
        </is>
      </c>
      <c r="F20" s="10" t="inlineStr">
        <is>
          <t>02. Agents and Harnesses</t>
        </is>
      </c>
      <c r="G20" s="10" t="n">
        <v>2024</v>
      </c>
      <c r="H20" s="10" t="inlineStr">
        <is>
          <t>Beginner</t>
        </is>
      </c>
      <c r="I20" s="10" t="inlineStr">
        <is>
          <t>Active in 2026</t>
        </is>
      </c>
    </row>
    <row r="21">
      <c r="A21" s="10" t="n">
        <v>2026</v>
      </c>
      <c r="B21" s="10" t="inlineStr">
        <is>
          <t>Blog</t>
        </is>
      </c>
      <c r="C21" s="10" t="inlineStr">
        <is>
          <t>OpenAI: Harness engineering</t>
        </is>
      </c>
      <c r="D21" s="11" t="inlineStr">
        <is>
          <t>https://openai.com/index/harness-engineering/</t>
        </is>
      </c>
      <c r="E21" s="10" t="inlineStr">
        <is>
          <t>Harness engineering</t>
        </is>
      </c>
      <c r="F21" s="10" t="inlineStr">
        <is>
          <t>02. Agents and Harnesses</t>
        </is>
      </c>
      <c r="G21" s="10" t="n">
        <v>2026</v>
      </c>
      <c r="H21" s="10" t="inlineStr">
        <is>
          <t>Intermediate</t>
        </is>
      </c>
      <c r="I21" s="10" t="inlineStr">
        <is>
          <t>New in 2026</t>
        </is>
      </c>
    </row>
    <row r="22">
      <c r="A22" s="10" t="n">
        <v>2026</v>
      </c>
      <c r="B22" s="10" t="inlineStr">
        <is>
          <t>Blog</t>
        </is>
      </c>
      <c r="C22" s="10" t="inlineStr">
        <is>
          <t>Faros: Harness engineering guide</t>
        </is>
      </c>
      <c r="D22" s="11" t="inlineStr">
        <is>
          <t>https://www.faros.ai/blog/harness-engineering</t>
        </is>
      </c>
      <c r="E22" s="10" t="inlineStr">
        <is>
          <t>Harness engineering</t>
        </is>
      </c>
      <c r="F22" s="10" t="inlineStr">
        <is>
          <t>02. Agents and Harnesses</t>
        </is>
      </c>
      <c r="G22" s="10" t="n">
        <v>2026</v>
      </c>
      <c r="H22" s="10" t="inlineStr">
        <is>
          <t>Intermediate</t>
        </is>
      </c>
      <c r="I22" s="10" t="inlineStr">
        <is>
          <t>New in 2026</t>
        </is>
      </c>
    </row>
    <row r="23">
      <c r="A23" s="10" t="n">
        <v>2026</v>
      </c>
      <c r="B23" s="10" t="inlineStr">
        <is>
          <t>GitHub</t>
        </is>
      </c>
      <c r="C23" s="10" t="inlineStr">
        <is>
          <t>awesome-agent-harness</t>
        </is>
      </c>
      <c r="D23" s="11" t="inlineStr">
        <is>
          <t>https://github.com/AutoJunjie/awesome-agent-harness</t>
        </is>
      </c>
      <c r="E23" s="10" t="inlineStr">
        <is>
          <t>Harness engineering</t>
        </is>
      </c>
      <c r="F23" s="10" t="inlineStr">
        <is>
          <t>02. Agents and Harnesses</t>
        </is>
      </c>
      <c r="G23" s="10" t="n">
        <v>2026</v>
      </c>
      <c r="H23" s="10" t="inlineStr">
        <is>
          <t>Intermediate</t>
        </is>
      </c>
      <c r="I23" s="10" t="inlineStr">
        <is>
          <t>New in 2026</t>
        </is>
      </c>
    </row>
    <row r="24">
      <c r="A24" s="10" t="n">
        <v>2026</v>
      </c>
      <c r="B24" s="10" t="inlineStr">
        <is>
          <t>Blog</t>
        </is>
      </c>
      <c r="C24" s="10" t="inlineStr">
        <is>
          <t>Anthropic: Scaling Managed Agents</t>
        </is>
      </c>
      <c r="D24" s="11" t="inlineStr">
        <is>
          <t>https://anthropic.com/engineering/managed-agents</t>
        </is>
      </c>
      <c r="E24" s="10" t="inlineStr">
        <is>
          <t>Managed agents: decoupling brain, hands and session</t>
        </is>
      </c>
      <c r="F24" s="10" t="inlineStr">
        <is>
          <t>02. Agents and Harnesses</t>
        </is>
      </c>
      <c r="G24" s="10" t="n">
        <v>2026</v>
      </c>
      <c r="H24" s="10" t="inlineStr">
        <is>
          <t>Advanced</t>
        </is>
      </c>
      <c r="I24" s="10" t="inlineStr">
        <is>
          <t>New in 2026</t>
        </is>
      </c>
    </row>
    <row r="25">
      <c r="A25" s="10" t="n">
        <v>2022</v>
      </c>
      <c r="B25" s="10" t="inlineStr">
        <is>
          <t>Paper</t>
        </is>
      </c>
      <c r="C25" s="10" t="inlineStr">
        <is>
          <t>ReAct paper</t>
        </is>
      </c>
      <c r="D25" s="11" t="inlineStr">
        <is>
          <t>https://arxiv.org/abs/2210.03629</t>
        </is>
      </c>
      <c r="E25" s="10" t="inlineStr">
        <is>
          <t>Agentic loop / ReAct</t>
        </is>
      </c>
      <c r="F25" s="10" t="inlineStr">
        <is>
          <t>02. Agents and Harnesses</t>
        </is>
      </c>
      <c r="G25" s="10" t="n">
        <v>2022</v>
      </c>
      <c r="H25" s="10" t="inlineStr">
        <is>
          <t>Beginner</t>
        </is>
      </c>
      <c r="I25" s="10" t="inlineStr">
        <is>
          <t>Established</t>
        </is>
      </c>
    </row>
    <row r="26">
      <c r="A26" s="10" t="n">
        <v>2024</v>
      </c>
      <c r="B26" s="10" t="inlineStr">
        <is>
          <t>Blog</t>
        </is>
      </c>
      <c r="C26" s="10" t="inlineStr">
        <is>
          <t>Anthropic: Building effective agents</t>
        </is>
      </c>
      <c r="D26" s="11" t="inlineStr">
        <is>
          <t>https://www.anthropic.com/engineering/building-effective-agents</t>
        </is>
      </c>
      <c r="E26" s="10" t="inlineStr">
        <is>
          <t>Agentic loop / ReAct</t>
        </is>
      </c>
      <c r="F26" s="10" t="inlineStr">
        <is>
          <t>02. Agents and Harnesses</t>
        </is>
      </c>
      <c r="G26" s="10" t="n">
        <v>2022</v>
      </c>
      <c r="H26" s="10" t="inlineStr">
        <is>
          <t>Beginner</t>
        </is>
      </c>
      <c r="I26" s="10" t="inlineStr">
        <is>
          <t>Established</t>
        </is>
      </c>
    </row>
    <row r="27">
      <c r="A27" s="10" t="n">
        <v>2025</v>
      </c>
      <c r="B27" s="10" t="inlineStr">
        <is>
          <t>GitHub</t>
        </is>
      </c>
      <c r="C27" s="10" t="inlineStr">
        <is>
          <t>mini-swe-agent</t>
        </is>
      </c>
      <c r="D27" s="11" t="inlineStr">
        <is>
          <t>https://github.com/SWE-agent/mini-swe-agent</t>
        </is>
      </c>
      <c r="E27" s="10" t="inlineStr">
        <is>
          <t>Agentic loop / ReAct</t>
        </is>
      </c>
      <c r="F27" s="10" t="inlineStr">
        <is>
          <t>02. Agents and Harnesses</t>
        </is>
      </c>
      <c r="G27" s="10" t="n">
        <v>2022</v>
      </c>
      <c r="H27" s="10" t="inlineStr">
        <is>
          <t>Beginner</t>
        </is>
      </c>
      <c r="I27" s="10" t="inlineStr">
        <is>
          <t>Established</t>
        </is>
      </c>
    </row>
    <row r="28">
      <c r="A28" s="10" t="n">
        <v>2024</v>
      </c>
      <c r="B28" s="10" t="inlineStr">
        <is>
          <t>Blog</t>
        </is>
      </c>
      <c r="C28" s="10" t="inlineStr">
        <is>
          <t>Anthropic: Building effective agents</t>
        </is>
      </c>
      <c r="D28" s="11" t="inlineStr">
        <is>
          <t>https://www.anthropic.com/engineering/building-effective-agents</t>
        </is>
      </c>
      <c r="E28" s="10" t="inlineStr">
        <is>
          <t>Workflows vs. agents</t>
        </is>
      </c>
      <c r="F28" s="10" t="inlineStr">
        <is>
          <t>02. Agents and Harnesses</t>
        </is>
      </c>
      <c r="G28" s="10" t="n">
        <v>2024</v>
      </c>
      <c r="H28" s="10" t="inlineStr">
        <is>
          <t>Beginner</t>
        </is>
      </c>
      <c r="I28" s="10" t="inlineStr">
        <is>
          <t>Established</t>
        </is>
      </c>
    </row>
    <row r="29">
      <c r="A29" s="10" t="n">
        <v>2025</v>
      </c>
      <c r="B29" s="10" t="inlineStr">
        <is>
          <t>GitHub</t>
        </is>
      </c>
      <c r="C29" s="10" t="inlineStr">
        <is>
          <t>12-factor agents</t>
        </is>
      </c>
      <c r="D29" s="11" t="inlineStr">
        <is>
          <t>https://github.com/humanlayer/12-factor-agents</t>
        </is>
      </c>
      <c r="E29" s="10" t="inlineStr">
        <is>
          <t>Workflows vs. agents</t>
        </is>
      </c>
      <c r="F29" s="10" t="inlineStr">
        <is>
          <t>02. Agents and Harnesses</t>
        </is>
      </c>
      <c r="G29" s="10" t="n">
        <v>2024</v>
      </c>
      <c r="H29" s="10" t="inlineStr">
        <is>
          <t>Beginner</t>
        </is>
      </c>
      <c r="I29" s="10" t="inlineStr">
        <is>
          <t>Established</t>
        </is>
      </c>
    </row>
    <row r="30">
      <c r="A30" s="10" t="n">
        <v>2025</v>
      </c>
      <c r="B30" s="10" t="inlineStr">
        <is>
          <t>Blog</t>
        </is>
      </c>
      <c r="C30" s="10" t="inlineStr">
        <is>
          <t>Anthropic: Writing effective tools for agents</t>
        </is>
      </c>
      <c r="D30" s="11" t="inlineStr">
        <is>
          <t>https://www.anthropic.com/engineering/writing-tools-for-agents</t>
        </is>
      </c>
      <c r="E30" s="10" t="inlineStr">
        <is>
          <t>Tool use / function calling</t>
        </is>
      </c>
      <c r="F30" s="10" t="inlineStr">
        <is>
          <t>02. Agents and Harnesses</t>
        </is>
      </c>
      <c r="G30" s="10" t="n">
        <v>2023</v>
      </c>
      <c r="H30" s="10" t="inlineStr">
        <is>
          <t>Beginner</t>
        </is>
      </c>
      <c r="I30" s="10" t="inlineStr">
        <is>
          <t>Established</t>
        </is>
      </c>
    </row>
    <row r="31">
      <c r="A31" s="10" t="n">
        <v>2024</v>
      </c>
      <c r="B31" s="10" t="inlineStr">
        <is>
          <t>Docs</t>
        </is>
      </c>
      <c r="C31" s="10" t="inlineStr">
        <is>
          <t>Claude tool use docs</t>
        </is>
      </c>
      <c r="D31" s="11" t="inlineStr">
        <is>
          <t>https://docs.claude.com/en/docs/agents-and-tools/tool-use/overview</t>
        </is>
      </c>
      <c r="E31" s="10" t="inlineStr">
        <is>
          <t>Tool use / function calling</t>
        </is>
      </c>
      <c r="F31" s="10" t="inlineStr">
        <is>
          <t>02. Agents and Harnesses</t>
        </is>
      </c>
      <c r="G31" s="10" t="n">
        <v>2023</v>
      </c>
      <c r="H31" s="10" t="inlineStr">
        <is>
          <t>Beginner</t>
        </is>
      </c>
      <c r="I31" s="10" t="inlineStr">
        <is>
          <t>Established</t>
        </is>
      </c>
    </row>
    <row r="32">
      <c r="A32" s="10" t="n">
        <v>2025</v>
      </c>
      <c r="B32" s="10" t="inlineStr">
        <is>
          <t>Blog</t>
        </is>
      </c>
      <c r="C32" s="10" t="inlineStr">
        <is>
          <t>Anthropic: Advanced tool use</t>
        </is>
      </c>
      <c r="D32" s="11" t="inlineStr">
        <is>
          <t>https://www.anthropic.com/engineering/advanced-tool-use</t>
        </is>
      </c>
      <c r="E32" s="10" t="inlineStr">
        <is>
          <t>Tool search and programmatic tool calling</t>
        </is>
      </c>
      <c r="F32" s="10" t="inlineStr">
        <is>
          <t>02. Agents and Harnesses</t>
        </is>
      </c>
      <c r="G32" s="10" t="n">
        <v>2025</v>
      </c>
      <c r="H32" s="10" t="inlineStr">
        <is>
          <t>Intermediate</t>
        </is>
      </c>
      <c r="I32" s="10" t="inlineStr">
        <is>
          <t>Active in 2026</t>
        </is>
      </c>
    </row>
    <row r="33">
      <c r="A33" s="10" t="n">
        <v>2025</v>
      </c>
      <c r="B33" s="10" t="inlineStr">
        <is>
          <t>Blog</t>
        </is>
      </c>
      <c r="C33" s="10" t="inlineStr">
        <is>
          <t>Anthropic: Code execution with MCP</t>
        </is>
      </c>
      <c r="D33" s="11" t="inlineStr">
        <is>
          <t>https://www.anthropic.com/engineering/code-execution-with-mcp</t>
        </is>
      </c>
      <c r="E33" s="10" t="inlineStr">
        <is>
          <t>Tool search and programmatic tool calling</t>
        </is>
      </c>
      <c r="F33" s="10" t="inlineStr">
        <is>
          <t>02. Agents and Harnesses</t>
        </is>
      </c>
      <c r="G33" s="10" t="n">
        <v>2025</v>
      </c>
      <c r="H33" s="10" t="inlineStr">
        <is>
          <t>Intermediate</t>
        </is>
      </c>
      <c r="I33" s="10" t="inlineStr">
        <is>
          <t>Active in 2026</t>
        </is>
      </c>
    </row>
    <row r="34">
      <c r="A34" s="10" t="n">
        <v>2025</v>
      </c>
      <c r="B34" s="10" t="inlineStr">
        <is>
          <t>Blog</t>
        </is>
      </c>
      <c r="C34" s="10" t="inlineStr">
        <is>
          <t>Cloudflare: Code Mode</t>
        </is>
      </c>
      <c r="D34" s="11" t="inlineStr">
        <is>
          <t>https://blog.cloudflare.com/code-mode/</t>
        </is>
      </c>
      <c r="E34" s="10" t="inlineStr">
        <is>
          <t>Tool search and programmatic tool calling</t>
        </is>
      </c>
      <c r="F34" s="10" t="inlineStr">
        <is>
          <t>02. Agents and Harnesses</t>
        </is>
      </c>
      <c r="G34" s="10" t="n">
        <v>2025</v>
      </c>
      <c r="H34" s="10" t="inlineStr">
        <is>
          <t>Intermediate</t>
        </is>
      </c>
      <c r="I34" s="10" t="inlineStr">
        <is>
          <t>Active in 2026</t>
        </is>
      </c>
    </row>
    <row r="35">
      <c r="A35" s="10" t="n">
        <v>2025</v>
      </c>
      <c r="B35" s="10" t="inlineStr">
        <is>
          <t>Blog</t>
        </is>
      </c>
      <c r="C35" s="10" t="inlineStr">
        <is>
          <t>Anthropic: Multi-agent research system</t>
        </is>
      </c>
      <c r="D35" s="11" t="inlineStr">
        <is>
          <t>https://www.anthropic.com/engineering/multi-agent-research-system</t>
        </is>
      </c>
      <c r="E35" s="10" t="inlineStr">
        <is>
          <t>Multi-agent systems and subagents</t>
        </is>
      </c>
      <c r="F35" s="10" t="inlineStr">
        <is>
          <t>02. Agents and Harnesses</t>
        </is>
      </c>
      <c r="G35" s="10" t="n">
        <v>2023</v>
      </c>
      <c r="H35" s="10" t="inlineStr">
        <is>
          <t>Intermediate</t>
        </is>
      </c>
      <c r="I35" s="10" t="inlineStr">
        <is>
          <t>Active in 2026</t>
        </is>
      </c>
    </row>
    <row r="36">
      <c r="A36" s="10" t="n">
        <v>2025</v>
      </c>
      <c r="B36" s="10" t="inlineStr">
        <is>
          <t>Docs</t>
        </is>
      </c>
      <c r="C36" s="10" t="inlineStr">
        <is>
          <t>Claude Code subagents</t>
        </is>
      </c>
      <c r="D36" s="11" t="inlineStr">
        <is>
          <t>https://docs.claude.com/en/docs/claude-code/sub-agents</t>
        </is>
      </c>
      <c r="E36" s="10" t="inlineStr">
        <is>
          <t>Multi-agent systems and subagents</t>
        </is>
      </c>
      <c r="F36" s="10" t="inlineStr">
        <is>
          <t>02. Agents and Harnesses</t>
        </is>
      </c>
      <c r="G36" s="10" t="n">
        <v>2023</v>
      </c>
      <c r="H36" s="10" t="inlineStr">
        <is>
          <t>Intermediate</t>
        </is>
      </c>
      <c r="I36" s="10" t="inlineStr">
        <is>
          <t>Active in 2026</t>
        </is>
      </c>
    </row>
    <row r="37">
      <c r="A37" s="10" t="n">
        <v>2024</v>
      </c>
      <c r="B37" s="10" t="inlineStr">
        <is>
          <t>GitHub</t>
        </is>
      </c>
      <c r="C37" s="10" t="inlineStr">
        <is>
          <t>LangGraph</t>
        </is>
      </c>
      <c r="D37" s="11" t="inlineStr">
        <is>
          <t>https://github.com/langchain-ai/langgraph</t>
        </is>
      </c>
      <c r="E37" s="10" t="inlineStr">
        <is>
          <t>Multi-agent systems and subagents</t>
        </is>
      </c>
      <c r="F37" s="10" t="inlineStr">
        <is>
          <t>02. Agents and Harnesses</t>
        </is>
      </c>
      <c r="G37" s="10" t="n">
        <v>2023</v>
      </c>
      <c r="H37" s="10" t="inlineStr">
        <is>
          <t>Intermediate</t>
        </is>
      </c>
      <c r="I37" s="10" t="inlineStr">
        <is>
          <t>Active in 2026</t>
        </is>
      </c>
    </row>
    <row r="38">
      <c r="A38" s="10" t="n">
        <v>2025</v>
      </c>
      <c r="B38" s="10" t="inlineStr">
        <is>
          <t>Blog</t>
        </is>
      </c>
      <c r="C38" s="10" t="inlineStr">
        <is>
          <t>Anthropic: Effective harnesses for long-running agents</t>
        </is>
      </c>
      <c r="D38" s="11" t="inlineStr">
        <is>
          <t>https://www.anthropic.com/engineering/effective-harnesses-for-long-running-agents</t>
        </is>
      </c>
      <c r="E38" s="10" t="inlineStr">
        <is>
          <t>Long-running and background agents</t>
        </is>
      </c>
      <c r="F38" s="10" t="inlineStr">
        <is>
          <t>02. Agents and Harnesses</t>
        </is>
      </c>
      <c r="G38" s="10" t="n">
        <v>2025</v>
      </c>
      <c r="H38" s="10" t="inlineStr">
        <is>
          <t>Intermediate</t>
        </is>
      </c>
      <c r="I38" s="10" t="inlineStr">
        <is>
          <t>Active in 2026</t>
        </is>
      </c>
    </row>
    <row r="39">
      <c r="A39" s="10" t="n">
        <v>2025</v>
      </c>
      <c r="B39" s="10" t="inlineStr">
        <is>
          <t>Blog</t>
        </is>
      </c>
      <c r="C39" s="10" t="inlineStr">
        <is>
          <t>METR: Measuring AI ability to complete long tasks</t>
        </is>
      </c>
      <c r="D39" s="11" t="inlineStr">
        <is>
          <t>https://metr.org/blog/2025-03-19-measuring-ai-ability-to-complete-long-tasks/</t>
        </is>
      </c>
      <c r="E39" s="10" t="inlineStr">
        <is>
          <t>Long-running and background agents</t>
        </is>
      </c>
      <c r="F39" s="10" t="inlineStr">
        <is>
          <t>02. Agents and Harnesses</t>
        </is>
      </c>
      <c r="G39" s="10" t="n">
        <v>2025</v>
      </c>
      <c r="H39" s="10" t="inlineStr">
        <is>
          <t>Intermediate</t>
        </is>
      </c>
      <c r="I39" s="10" t="inlineStr">
        <is>
          <t>Active in 2026</t>
        </is>
      </c>
    </row>
    <row r="40">
      <c r="A40" s="10" t="n">
        <v>2024</v>
      </c>
      <c r="B40" s="10" t="inlineStr">
        <is>
          <t>Docs</t>
        </is>
      </c>
      <c r="C40" s="10" t="inlineStr">
        <is>
          <t>Claude computer use tool</t>
        </is>
      </c>
      <c r="D40" s="11" t="inlineStr">
        <is>
          <t>https://docs.claude.com/en/docs/agents-and-tools/tool-use/computer-use-tool</t>
        </is>
      </c>
      <c r="E40" s="10" t="inlineStr">
        <is>
          <t>Computer use and browser agents</t>
        </is>
      </c>
      <c r="F40" s="10" t="inlineStr">
        <is>
          <t>02. Agents and Harnesses</t>
        </is>
      </c>
      <c r="G40" s="10" t="n">
        <v>2024</v>
      </c>
      <c r="H40" s="10" t="inlineStr">
        <is>
          <t>Intermediate</t>
        </is>
      </c>
      <c r="I40" s="10" t="inlineStr">
        <is>
          <t>Active in 2026</t>
        </is>
      </c>
    </row>
    <row r="41">
      <c r="A41" s="10" t="n">
        <v>2025</v>
      </c>
      <c r="B41" s="10" t="inlineStr">
        <is>
          <t>Blog</t>
        </is>
      </c>
      <c r="C41" s="10" t="inlineStr">
        <is>
          <t>OpenAI: Computer-Using Agent</t>
        </is>
      </c>
      <c r="D41" s="11" t="inlineStr">
        <is>
          <t>https://openai.com/index/computer-using-agent/</t>
        </is>
      </c>
      <c r="E41" s="10" t="inlineStr">
        <is>
          <t>Computer use and browser agents</t>
        </is>
      </c>
      <c r="F41" s="10" t="inlineStr">
        <is>
          <t>02. Agents and Harnesses</t>
        </is>
      </c>
      <c r="G41" s="10" t="n">
        <v>2024</v>
      </c>
      <c r="H41" s="10" t="inlineStr">
        <is>
          <t>Intermediate</t>
        </is>
      </c>
      <c r="I41" s="10" t="inlineStr">
        <is>
          <t>Active in 2026</t>
        </is>
      </c>
    </row>
    <row r="42">
      <c r="A42" s="10" t="n">
        <v>2024</v>
      </c>
      <c r="B42" s="10" t="inlineStr">
        <is>
          <t>GitHub</t>
        </is>
      </c>
      <c r="C42" s="10" t="inlineStr">
        <is>
          <t>browser-use</t>
        </is>
      </c>
      <c r="D42" s="11" t="inlineStr">
        <is>
          <t>https://github.com/browser-use/browser-use</t>
        </is>
      </c>
      <c r="E42" s="10" t="inlineStr">
        <is>
          <t>Computer use and browser agents</t>
        </is>
      </c>
      <c r="F42" s="10" t="inlineStr">
        <is>
          <t>02. Agents and Harnesses</t>
        </is>
      </c>
      <c r="G42" s="10" t="n">
        <v>2024</v>
      </c>
      <c r="H42" s="10" t="inlineStr">
        <is>
          <t>Intermediate</t>
        </is>
      </c>
      <c r="I42" s="10" t="inlineStr">
        <is>
          <t>Active in 2026</t>
        </is>
      </c>
    </row>
    <row r="43">
      <c r="A43" s="10" t="n">
        <v>2025</v>
      </c>
      <c r="B43" s="10" t="inlineStr">
        <is>
          <t>GitHub</t>
        </is>
      </c>
      <c r="C43" s="10" t="inlineStr">
        <is>
          <t>Playwright MCP</t>
        </is>
      </c>
      <c r="D43" s="11" t="inlineStr">
        <is>
          <t>https://github.com/microsoft/playwright-mcp</t>
        </is>
      </c>
      <c r="E43" s="10" t="inlineStr">
        <is>
          <t>Computer use and browser agents</t>
        </is>
      </c>
      <c r="F43" s="10" t="inlineStr">
        <is>
          <t>02. Agents and Harnesses</t>
        </is>
      </c>
      <c r="G43" s="10" t="n">
        <v>2024</v>
      </c>
      <c r="H43" s="10" t="inlineStr">
        <is>
          <t>Intermediate</t>
        </is>
      </c>
      <c r="I43" s="10" t="inlineStr">
        <is>
          <t>Active in 2026</t>
        </is>
      </c>
    </row>
    <row r="44">
      <c r="A44" s="10" t="n">
        <v>2026</v>
      </c>
      <c r="B44" s="10" t="inlineStr">
        <is>
          <t>GitHub</t>
        </is>
      </c>
      <c r="C44" s="10" t="inlineStr">
        <is>
          <t>OpenClaw</t>
        </is>
      </c>
      <c r="D44" s="11" t="inlineStr">
        <is>
          <t>https://github.com/openclaw/openclaw</t>
        </is>
      </c>
      <c r="E44" s="10" t="inlineStr">
        <is>
          <t>Personal agents</t>
        </is>
      </c>
      <c r="F44" s="10" t="inlineStr">
        <is>
          <t>02. Agents and Harnesses</t>
        </is>
      </c>
      <c r="G44" s="10" t="n">
        <v>2026</v>
      </c>
      <c r="H44" s="10" t="inlineStr">
        <is>
          <t>Beginner</t>
        </is>
      </c>
      <c r="I44" s="10" t="inlineStr">
        <is>
          <t>New in 2026</t>
        </is>
      </c>
    </row>
    <row r="45">
      <c r="A45" s="10" t="n">
        <v>2026</v>
      </c>
      <c r="B45" s="10" t="inlineStr">
        <is>
          <t>Paper</t>
        </is>
      </c>
      <c r="C45" s="10" t="inlineStr">
        <is>
          <t>SemaClaw: personal agents via harness engineering</t>
        </is>
      </c>
      <c r="D45" s="11" t="inlineStr">
        <is>
          <t>https://arxiv.org/abs/2604.11548</t>
        </is>
      </c>
      <c r="E45" s="10" t="inlineStr">
        <is>
          <t>Personal agents</t>
        </is>
      </c>
      <c r="F45" s="10" t="inlineStr">
        <is>
          <t>02. Agents and Harnesses</t>
        </is>
      </c>
      <c r="G45" s="10" t="n">
        <v>2026</v>
      </c>
      <c r="H45" s="10" t="inlineStr">
        <is>
          <t>Beginner</t>
        </is>
      </c>
      <c r="I45" s="10" t="inlineStr">
        <is>
          <t>New in 2026</t>
        </is>
      </c>
    </row>
    <row r="46">
      <c r="A46" s="10" t="n">
        <v>2025</v>
      </c>
      <c r="B46" s="10" t="inlineStr">
        <is>
          <t>GitHub</t>
        </is>
      </c>
      <c r="C46" s="10" t="inlineStr">
        <is>
          <t>Anthropic sandbox-runtime</t>
        </is>
      </c>
      <c r="D46" s="11" t="inlineStr">
        <is>
          <t>https://github.com/anthropic-experimental/sandbox-runtime</t>
        </is>
      </c>
      <c r="E46" s="10" t="inlineStr">
        <is>
          <t>Agent sandboxes</t>
        </is>
      </c>
      <c r="F46" s="10" t="inlineStr">
        <is>
          <t>02. Agents and Harnesses</t>
        </is>
      </c>
      <c r="G46" s="10" t="n">
        <v>2024</v>
      </c>
      <c r="H46" s="10" t="inlineStr">
        <is>
          <t>Intermediate</t>
        </is>
      </c>
      <c r="I46" s="10" t="inlineStr">
        <is>
          <t>Active in 2026</t>
        </is>
      </c>
    </row>
    <row r="47">
      <c r="A47" s="10" t="n">
        <v>2023</v>
      </c>
      <c r="B47" s="10" t="inlineStr">
        <is>
          <t>GitHub</t>
        </is>
      </c>
      <c r="C47" s="10" t="inlineStr">
        <is>
          <t>E2B</t>
        </is>
      </c>
      <c r="D47" s="11" t="inlineStr">
        <is>
          <t>https://github.com/e2b-dev/E2B</t>
        </is>
      </c>
      <c r="E47" s="10" t="inlineStr">
        <is>
          <t>Agent sandboxes</t>
        </is>
      </c>
      <c r="F47" s="10" t="inlineStr">
        <is>
          <t>02. Agents and Harnesses</t>
        </is>
      </c>
      <c r="G47" s="10" t="n">
        <v>2024</v>
      </c>
      <c r="H47" s="10" t="inlineStr">
        <is>
          <t>Intermediate</t>
        </is>
      </c>
      <c r="I47" s="10" t="inlineStr">
        <is>
          <t>Active in 2026</t>
        </is>
      </c>
    </row>
    <row r="48">
      <c r="A48" s="10" t="n">
        <v>2024</v>
      </c>
      <c r="B48" s="10" t="inlineStr">
        <is>
          <t>GitHub</t>
        </is>
      </c>
      <c r="C48" s="10" t="inlineStr">
        <is>
          <t>Daytona</t>
        </is>
      </c>
      <c r="D48" s="11" t="inlineStr">
        <is>
          <t>https://github.com/daytonaio/daytona</t>
        </is>
      </c>
      <c r="E48" s="10" t="inlineStr">
        <is>
          <t>Agent sandboxes</t>
        </is>
      </c>
      <c r="F48" s="10" t="inlineStr">
        <is>
          <t>02. Agents and Harnesses</t>
        </is>
      </c>
      <c r="G48" s="10" t="n">
        <v>2024</v>
      </c>
      <c r="H48" s="10" t="inlineStr">
        <is>
          <t>Intermediate</t>
        </is>
      </c>
      <c r="I48" s="10" t="inlineStr">
        <is>
          <t>Active in 2026</t>
        </is>
      </c>
    </row>
    <row r="49">
      <c r="A49" s="10" t="n">
        <v>2025</v>
      </c>
      <c r="B49" s="10" t="inlineStr">
        <is>
          <t>GitHub</t>
        </is>
      </c>
      <c r="C49" s="10" t="inlineStr">
        <is>
          <t>container-use</t>
        </is>
      </c>
      <c r="D49" s="11" t="inlineStr">
        <is>
          <t>https://github.com/dagger/container-use</t>
        </is>
      </c>
      <c r="E49" s="10" t="inlineStr">
        <is>
          <t>Agent sandboxes</t>
        </is>
      </c>
      <c r="F49" s="10" t="inlineStr">
        <is>
          <t>02. Agents and Harnesses</t>
        </is>
      </c>
      <c r="G49" s="10" t="n">
        <v>2024</v>
      </c>
      <c r="H49" s="10" t="inlineStr">
        <is>
          <t>Intermediate</t>
        </is>
      </c>
      <c r="I49" s="10" t="inlineStr">
        <is>
          <t>Active in 2026</t>
        </is>
      </c>
    </row>
    <row r="50">
      <c r="A50" s="10" t="n">
        <v>2025</v>
      </c>
      <c r="B50" s="10" t="inlineStr">
        <is>
          <t>GitHub</t>
        </is>
      </c>
      <c r="C50" s="10" t="inlineStr">
        <is>
          <t>Claude Agent SDK (Python)</t>
        </is>
      </c>
      <c r="D50" s="11" t="inlineStr">
        <is>
          <t>https://github.com/anthropics/claude-agent-sdk-python</t>
        </is>
      </c>
      <c r="E50" s="10" t="inlineStr">
        <is>
          <t>Agent frameworks and SDKs</t>
        </is>
      </c>
      <c r="F50" s="10" t="inlineStr">
        <is>
          <t>02. Agents and Harnesses</t>
        </is>
      </c>
      <c r="G50" s="10" t="n">
        <v>2023</v>
      </c>
      <c r="H50" s="10" t="inlineStr">
        <is>
          <t>Beginner</t>
        </is>
      </c>
      <c r="I50" s="10" t="inlineStr">
        <is>
          <t>Active in 2026</t>
        </is>
      </c>
    </row>
    <row r="51">
      <c r="A51" s="10" t="n">
        <v>2025</v>
      </c>
      <c r="B51" s="10" t="inlineStr">
        <is>
          <t>GitHub</t>
        </is>
      </c>
      <c r="C51" s="10" t="inlineStr">
        <is>
          <t>OpenAI Agents SDK</t>
        </is>
      </c>
      <c r="D51" s="11" t="inlineStr">
        <is>
          <t>https://github.com/openai/openai-agents-python</t>
        </is>
      </c>
      <c r="E51" s="10" t="inlineStr">
        <is>
          <t>Agent frameworks and SDKs</t>
        </is>
      </c>
      <c r="F51" s="10" t="inlineStr">
        <is>
          <t>02. Agents and Harnesses</t>
        </is>
      </c>
      <c r="G51" s="10" t="n">
        <v>2023</v>
      </c>
      <c r="H51" s="10" t="inlineStr">
        <is>
          <t>Beginner</t>
        </is>
      </c>
      <c r="I51" s="10" t="inlineStr">
        <is>
          <t>Active in 2026</t>
        </is>
      </c>
    </row>
    <row r="52">
      <c r="A52" s="10" t="n">
        <v>2025</v>
      </c>
      <c r="B52" s="10" t="inlineStr">
        <is>
          <t>GitHub</t>
        </is>
      </c>
      <c r="C52" s="10" t="inlineStr">
        <is>
          <t>Google ADK</t>
        </is>
      </c>
      <c r="D52" s="11" t="inlineStr">
        <is>
          <t>https://github.com/google/adk-python</t>
        </is>
      </c>
      <c r="E52" s="10" t="inlineStr">
        <is>
          <t>Agent frameworks and SDKs</t>
        </is>
      </c>
      <c r="F52" s="10" t="inlineStr">
        <is>
          <t>02. Agents and Harnesses</t>
        </is>
      </c>
      <c r="G52" s="10" t="n">
        <v>2023</v>
      </c>
      <c r="H52" s="10" t="inlineStr">
        <is>
          <t>Beginner</t>
        </is>
      </c>
      <c r="I52" s="10" t="inlineStr">
        <is>
          <t>Active in 2026</t>
        </is>
      </c>
    </row>
    <row r="53">
      <c r="A53" s="10" t="n">
        <v>2025</v>
      </c>
      <c r="B53" s="10" t="inlineStr">
        <is>
          <t>GitHub</t>
        </is>
      </c>
      <c r="C53" s="10" t="inlineStr">
        <is>
          <t>Microsoft Agent Framework</t>
        </is>
      </c>
      <c r="D53" s="11" t="inlineStr">
        <is>
          <t>https://github.com/microsoft/agent-framework</t>
        </is>
      </c>
      <c r="E53" s="10" t="inlineStr">
        <is>
          <t>Agent frameworks and SDKs</t>
        </is>
      </c>
      <c r="F53" s="10" t="inlineStr">
        <is>
          <t>02. Agents and Harnesses</t>
        </is>
      </c>
      <c r="G53" s="10" t="n">
        <v>2023</v>
      </c>
      <c r="H53" s="10" t="inlineStr">
        <is>
          <t>Beginner</t>
        </is>
      </c>
      <c r="I53" s="10" t="inlineStr">
        <is>
          <t>Active in 2026</t>
        </is>
      </c>
    </row>
    <row r="54">
      <c r="A54" s="10" t="n">
        <v>2024</v>
      </c>
      <c r="B54" s="10" t="inlineStr">
        <is>
          <t>GitHub</t>
        </is>
      </c>
      <c r="C54" s="10" t="inlineStr">
        <is>
          <t>Pydantic AI</t>
        </is>
      </c>
      <c r="D54" s="11" t="inlineStr">
        <is>
          <t>https://github.com/pydantic/pydantic-ai</t>
        </is>
      </c>
      <c r="E54" s="10" t="inlineStr">
        <is>
          <t>Agent frameworks and SDKs</t>
        </is>
      </c>
      <c r="F54" s="10" t="inlineStr">
        <is>
          <t>02. Agents and Harnesses</t>
        </is>
      </c>
      <c r="G54" s="10" t="n">
        <v>2023</v>
      </c>
      <c r="H54" s="10" t="inlineStr">
        <is>
          <t>Beginner</t>
        </is>
      </c>
      <c r="I54" s="10" t="inlineStr">
        <is>
          <t>Active in 2026</t>
        </is>
      </c>
    </row>
    <row r="55">
      <c r="A55" s="10" t="n">
        <v>2024</v>
      </c>
      <c r="B55" s="10" t="inlineStr">
        <is>
          <t>GitHub</t>
        </is>
      </c>
      <c r="C55" s="10" t="inlineStr">
        <is>
          <t>smolagents</t>
        </is>
      </c>
      <c r="D55" s="11" t="inlineStr">
        <is>
          <t>https://github.com/huggingface/smolagents</t>
        </is>
      </c>
      <c r="E55" s="10" t="inlineStr">
        <is>
          <t>Agent frameworks and SDKs</t>
        </is>
      </c>
      <c r="F55" s="10" t="inlineStr">
        <is>
          <t>02. Agents and Harnesses</t>
        </is>
      </c>
      <c r="G55" s="10" t="n">
        <v>2023</v>
      </c>
      <c r="H55" s="10" t="inlineStr">
        <is>
          <t>Beginner</t>
        </is>
      </c>
      <c r="I55" s="10" t="inlineStr">
        <is>
          <t>Active in 2026</t>
        </is>
      </c>
    </row>
    <row r="56">
      <c r="A56" s="10" t="n">
        <v>2023</v>
      </c>
      <c r="B56" s="10" t="inlineStr">
        <is>
          <t>GitHub</t>
        </is>
      </c>
      <c r="C56" s="10" t="inlineStr">
        <is>
          <t>CrewAI</t>
        </is>
      </c>
      <c r="D56" s="11" t="inlineStr">
        <is>
          <t>https://github.com/crewAIInc/crewAI</t>
        </is>
      </c>
      <c r="E56" s="10" t="inlineStr">
        <is>
          <t>Agent frameworks and SDKs</t>
        </is>
      </c>
      <c r="F56" s="10" t="inlineStr">
        <is>
          <t>02. Agents and Harnesses</t>
        </is>
      </c>
      <c r="G56" s="10" t="n">
        <v>2023</v>
      </c>
      <c r="H56" s="10" t="inlineStr">
        <is>
          <t>Beginner</t>
        </is>
      </c>
      <c r="I56" s="10" t="inlineStr">
        <is>
          <t>Active in 2026</t>
        </is>
      </c>
    </row>
    <row r="57">
      <c r="A57" s="10" t="n">
        <v>2025</v>
      </c>
      <c r="B57" s="10" t="inlineStr">
        <is>
          <t>GitHub</t>
        </is>
      </c>
      <c r="C57" s="10" t="inlineStr">
        <is>
          <t>LangChain deepagents</t>
        </is>
      </c>
      <c r="D57" s="11" t="inlineStr">
        <is>
          <t>https://github.com/langchain-ai/deepagents</t>
        </is>
      </c>
      <c r="E57" s="10" t="inlineStr">
        <is>
          <t>Agent frameworks and SDKs</t>
        </is>
      </c>
      <c r="F57" s="10" t="inlineStr">
        <is>
          <t>02. Agents and Harnesses</t>
        </is>
      </c>
      <c r="G57" s="10" t="n">
        <v>2023</v>
      </c>
      <c r="H57" s="10" t="inlineStr">
        <is>
          <t>Beginner</t>
        </is>
      </c>
      <c r="I57" s="10" t="inlineStr">
        <is>
          <t>Active in 2026</t>
        </is>
      </c>
    </row>
    <row r="58">
      <c r="A58" s="10" t="n">
        <v>2019</v>
      </c>
      <c r="B58" s="10" t="inlineStr">
        <is>
          <t>Docs</t>
        </is>
      </c>
      <c r="C58" s="10" t="inlineStr">
        <is>
          <t>Temporal</t>
        </is>
      </c>
      <c r="D58" s="11" t="inlineStr">
        <is>
          <t>https://temporal.io</t>
        </is>
      </c>
      <c r="E58" s="10" t="inlineStr">
        <is>
          <t>Durable execution and agent trajectories</t>
        </is>
      </c>
      <c r="F58" s="10" t="inlineStr">
        <is>
          <t>02. Agents and Harnesses</t>
        </is>
      </c>
      <c r="G58" s="10" t="n">
        <v>2024</v>
      </c>
      <c r="H58" s="10" t="inlineStr">
        <is>
          <t>Advanced</t>
        </is>
      </c>
      <c r="I58" s="10" t="inlineStr">
        <is>
          <t>Active in 2026</t>
        </is>
      </c>
    </row>
    <row r="59">
      <c r="A59" s="10" t="n">
        <v>2024</v>
      </c>
      <c r="B59" s="10" t="inlineStr">
        <is>
          <t>GitHub</t>
        </is>
      </c>
      <c r="C59" s="10" t="inlineStr">
        <is>
          <t>LangGraph (persistence)</t>
        </is>
      </c>
      <c r="D59" s="11" t="inlineStr">
        <is>
          <t>https://github.com/langchain-ai/langgraph</t>
        </is>
      </c>
      <c r="E59" s="10" t="inlineStr">
        <is>
          <t>Durable execution and agent trajectories</t>
        </is>
      </c>
      <c r="F59" s="10" t="inlineStr">
        <is>
          <t>02. Agents and Harnesses</t>
        </is>
      </c>
      <c r="G59" s="10" t="n">
        <v>2024</v>
      </c>
      <c r="H59" s="10" t="inlineStr">
        <is>
          <t>Advanced</t>
        </is>
      </c>
      <c r="I59" s="10" t="inlineStr">
        <is>
          <t>Active in 2026</t>
        </is>
      </c>
    </row>
    <row r="60">
      <c r="A60" s="10" t="n">
        <v>2026</v>
      </c>
      <c r="B60" s="10" t="inlineStr">
        <is>
          <t>Blog</t>
        </is>
      </c>
      <c r="C60" s="10" t="inlineStr">
        <is>
          <t>MCP blog: The 2026-07-28 specification</t>
        </is>
      </c>
      <c r="D60" s="11" t="inlineStr">
        <is>
          <t>https://blog.modelcontextprotocol.io/posts/2026-07-28/</t>
        </is>
      </c>
      <c r="E60" s="10" t="inlineStr">
        <is>
          <t>Model Context Protocol</t>
        </is>
      </c>
      <c r="F60" s="10" t="inlineStr">
        <is>
          <t>03. Protocols and Interoperability Standards</t>
        </is>
      </c>
      <c r="G60" s="10" t="n">
        <v>2024</v>
      </c>
      <c r="H60" s="10" t="inlineStr">
        <is>
          <t>Beginner</t>
        </is>
      </c>
      <c r="I60" s="10" t="inlineStr">
        <is>
          <t>Active in 2026</t>
        </is>
      </c>
    </row>
    <row r="61">
      <c r="A61" s="10" t="n">
        <v>2026</v>
      </c>
      <c r="B61" s="10" t="inlineStr">
        <is>
          <t>Blog</t>
        </is>
      </c>
      <c r="C61" s="10" t="inlineStr">
        <is>
          <t>MCP roadmap (Aug 2026)</t>
        </is>
      </c>
      <c r="D61" s="11" t="inlineStr">
        <is>
          <t>https://blog.modelcontextprotocol.io/posts/mcp-roadmap/</t>
        </is>
      </c>
      <c r="E61" s="10" t="inlineStr">
        <is>
          <t>Model Context Protocol</t>
        </is>
      </c>
      <c r="F61" s="10" t="inlineStr">
        <is>
          <t>03. Protocols and Interoperability Standards</t>
        </is>
      </c>
      <c r="G61" s="10" t="n">
        <v>2024</v>
      </c>
      <c r="H61" s="10" t="inlineStr">
        <is>
          <t>Beginner</t>
        </is>
      </c>
      <c r="I61" s="10" t="inlineStr">
        <is>
          <t>Active in 2026</t>
        </is>
      </c>
    </row>
    <row r="62">
      <c r="A62" s="10" t="n">
        <v>2024</v>
      </c>
      <c r="B62" s="10" t="inlineStr">
        <is>
          <t>Docs</t>
        </is>
      </c>
      <c r="C62" s="10" t="inlineStr">
        <is>
          <t>modelcontextprotocol.io</t>
        </is>
      </c>
      <c r="D62" s="11" t="inlineStr">
        <is>
          <t>https://modelcontextprotocol.io</t>
        </is>
      </c>
      <c r="E62" s="10" t="inlineStr">
        <is>
          <t>Model Context Protocol</t>
        </is>
      </c>
      <c r="F62" s="10" t="inlineStr">
        <is>
          <t>03. Protocols and Interoperability Standards</t>
        </is>
      </c>
      <c r="G62" s="10" t="n">
        <v>2024</v>
      </c>
      <c r="H62" s="10" t="inlineStr">
        <is>
          <t>Beginner</t>
        </is>
      </c>
      <c r="I62" s="10" t="inlineStr">
        <is>
          <t>Active in 2026</t>
        </is>
      </c>
    </row>
    <row r="63">
      <c r="A63" s="10" t="n">
        <v>2024</v>
      </c>
      <c r="B63" s="10" t="inlineStr">
        <is>
          <t>GitHub</t>
        </is>
      </c>
      <c r="C63" s="10" t="inlineStr">
        <is>
          <t>MCP org (SDKs, servers)</t>
        </is>
      </c>
      <c r="D63" s="11" t="inlineStr">
        <is>
          <t>https://github.com/modelcontextprotocol</t>
        </is>
      </c>
      <c r="E63" s="10" t="inlineStr">
        <is>
          <t>Model Context Protocol</t>
        </is>
      </c>
      <c r="F63" s="10" t="inlineStr">
        <is>
          <t>03. Protocols and Interoperability Standards</t>
        </is>
      </c>
      <c r="G63" s="10" t="n">
        <v>2024</v>
      </c>
      <c r="H63" s="10" t="inlineStr">
        <is>
          <t>Beginner</t>
        </is>
      </c>
      <c r="I63" s="10" t="inlineStr">
        <is>
          <t>Active in 2026</t>
        </is>
      </c>
    </row>
    <row r="64">
      <c r="A64" s="10" t="n">
        <v>2026</v>
      </c>
      <c r="B64" s="10" t="inlineStr">
        <is>
          <t>Blog</t>
        </is>
      </c>
      <c r="C64" s="10" t="inlineStr">
        <is>
          <t>WorkOS: What changes for agent authentication</t>
        </is>
      </c>
      <c r="D64" s="11" t="inlineStr">
        <is>
          <t>https://workos.com/blog/mcp-2026-spec-agent-authentication</t>
        </is>
      </c>
      <c r="E64" s="10" t="inlineStr">
        <is>
          <t>Model Context Protocol</t>
        </is>
      </c>
      <c r="F64" s="10" t="inlineStr">
        <is>
          <t>03. Protocols and Interoperability Standards</t>
        </is>
      </c>
      <c r="G64" s="10" t="n">
        <v>2024</v>
      </c>
      <c r="H64" s="10" t="inlineStr">
        <is>
          <t>Beginner</t>
        </is>
      </c>
      <c r="I64" s="10" t="inlineStr">
        <is>
          <t>Active in 2026</t>
        </is>
      </c>
    </row>
    <row r="65">
      <c r="A65" s="10" t="n">
        <v>2025</v>
      </c>
      <c r="B65" s="10" t="inlineStr">
        <is>
          <t>GitHub</t>
        </is>
      </c>
      <c r="C65" s="10" t="inlineStr">
        <is>
          <t>MCP ext-apps</t>
        </is>
      </c>
      <c r="D65" s="11" t="inlineStr">
        <is>
          <t>https://github.com/modelcontextprotocol/ext-apps</t>
        </is>
      </c>
      <c r="E65" s="10" t="inlineStr">
        <is>
          <t>MCP Apps</t>
        </is>
      </c>
      <c r="F65" s="10" t="inlineStr">
        <is>
          <t>03. Protocols and Interoperability Standards</t>
        </is>
      </c>
      <c r="G65" s="10" t="n">
        <v>2025</v>
      </c>
      <c r="H65" s="10" t="inlineStr">
        <is>
          <t>Intermediate</t>
        </is>
      </c>
      <c r="I65" s="10" t="inlineStr">
        <is>
          <t>Active in 2026</t>
        </is>
      </c>
    </row>
    <row r="66">
      <c r="A66" s="10" t="n">
        <v>2026</v>
      </c>
      <c r="B66" s="10" t="inlineStr">
        <is>
          <t>Blog</t>
        </is>
      </c>
      <c r="C66" s="10" t="inlineStr">
        <is>
          <t>MCP release candidate notes</t>
        </is>
      </c>
      <c r="D66" s="11" t="inlineStr">
        <is>
          <t>https://blog.modelcontextprotocol.io/posts/2026-07-28-release-candidate/</t>
        </is>
      </c>
      <c r="E66" s="10" t="inlineStr">
        <is>
          <t>MCP Tasks</t>
        </is>
      </c>
      <c r="F66" s="10" t="inlineStr">
        <is>
          <t>03. Protocols and Interoperability Standards</t>
        </is>
      </c>
      <c r="G66" s="10" t="n">
        <v>2025</v>
      </c>
      <c r="H66" s="10" t="inlineStr">
        <is>
          <t>Intermediate</t>
        </is>
      </c>
      <c r="I66" s="10" t="inlineStr">
        <is>
          <t>Active in 2026</t>
        </is>
      </c>
    </row>
    <row r="67">
      <c r="A67" s="10" t="n">
        <v>2025</v>
      </c>
      <c r="B67" s="10" t="inlineStr">
        <is>
          <t>Spec</t>
        </is>
      </c>
      <c r="C67" s="10" t="inlineStr">
        <is>
          <t>A2A protocol</t>
        </is>
      </c>
      <c r="D67" s="11" t="inlineStr">
        <is>
          <t>https://a2a-protocol.org</t>
        </is>
      </c>
      <c r="E67" s="10" t="inlineStr">
        <is>
          <t>Agent2Agent protocol</t>
        </is>
      </c>
      <c r="F67" s="10" t="inlineStr">
        <is>
          <t>03. Protocols and Interoperability Standards</t>
        </is>
      </c>
      <c r="G67" s="10" t="n">
        <v>2025</v>
      </c>
      <c r="H67" s="10" t="inlineStr">
        <is>
          <t>Intermediate</t>
        </is>
      </c>
      <c r="I67" s="10" t="inlineStr">
        <is>
          <t>Active in 2026</t>
        </is>
      </c>
    </row>
    <row r="68">
      <c r="A68" s="10" t="n">
        <v>2025</v>
      </c>
      <c r="B68" s="10" t="inlineStr">
        <is>
          <t>GitHub</t>
        </is>
      </c>
      <c r="C68" s="10" t="inlineStr">
        <is>
          <t>A2A repository</t>
        </is>
      </c>
      <c r="D68" s="11" t="inlineStr">
        <is>
          <t>https://github.com/a2aproject/A2A</t>
        </is>
      </c>
      <c r="E68" s="10" t="inlineStr">
        <is>
          <t>Agent2Agent protocol</t>
        </is>
      </c>
      <c r="F68" s="10" t="inlineStr">
        <is>
          <t>03. Protocols and Interoperability Standards</t>
        </is>
      </c>
      <c r="G68" s="10" t="n">
        <v>2025</v>
      </c>
      <c r="H68" s="10" t="inlineStr">
        <is>
          <t>Intermediate</t>
        </is>
      </c>
      <c r="I68" s="10" t="inlineStr">
        <is>
          <t>Active in 2026</t>
        </is>
      </c>
    </row>
    <row r="69">
      <c r="A69" s="10" t="n">
        <v>2025</v>
      </c>
      <c r="B69" s="10" t="inlineStr">
        <is>
          <t>Docs</t>
        </is>
      </c>
      <c r="C69" s="10" t="inlineStr">
        <is>
          <t>aaif.io</t>
        </is>
      </c>
      <c r="D69" s="11" t="inlineStr">
        <is>
          <t>https://aaif.io</t>
        </is>
      </c>
      <c r="E69" s="10" t="inlineStr">
        <is>
          <t>Agentic AI Foundation</t>
        </is>
      </c>
      <c r="F69" s="10" t="inlineStr">
        <is>
          <t>03. Protocols and Interoperability Standards</t>
        </is>
      </c>
      <c r="G69" s="10" t="n">
        <v>2025</v>
      </c>
      <c r="H69" s="10" t="inlineStr">
        <is>
          <t>Beginner</t>
        </is>
      </c>
      <c r="I69" s="10" t="inlineStr">
        <is>
          <t>Active in 2026</t>
        </is>
      </c>
    </row>
    <row r="70">
      <c r="A70" s="10" t="n">
        <v>2025</v>
      </c>
      <c r="B70" s="10" t="inlineStr">
        <is>
          <t>GitHub</t>
        </is>
      </c>
      <c r="C70" s="10" t="inlineStr">
        <is>
          <t>goose</t>
        </is>
      </c>
      <c r="D70" s="11" t="inlineStr">
        <is>
          <t>https://github.com/block/goose</t>
        </is>
      </c>
      <c r="E70" s="10" t="inlineStr">
        <is>
          <t>Agentic AI Foundation</t>
        </is>
      </c>
      <c r="F70" s="10" t="inlineStr">
        <is>
          <t>03. Protocols and Interoperability Standards</t>
        </is>
      </c>
      <c r="G70" s="10" t="n">
        <v>2025</v>
      </c>
      <c r="H70" s="10" t="inlineStr">
        <is>
          <t>Beginner</t>
        </is>
      </c>
      <c r="I70" s="10" t="inlineStr">
        <is>
          <t>Active in 2026</t>
        </is>
      </c>
    </row>
    <row r="71">
      <c r="A71" s="10" t="n">
        <v>2025</v>
      </c>
      <c r="B71" s="10" t="inlineStr">
        <is>
          <t>Spec</t>
        </is>
      </c>
      <c r="C71" s="10" t="inlineStr">
        <is>
          <t>agentskills.io</t>
        </is>
      </c>
      <c r="D71" s="11" t="inlineStr">
        <is>
          <t>https://agentskills.io</t>
        </is>
      </c>
      <c r="E71" s="10" t="inlineStr">
        <is>
          <t>Agent Skills</t>
        </is>
      </c>
      <c r="F71" s="10" t="inlineStr">
        <is>
          <t>03. Protocols and Interoperability Standards</t>
        </is>
      </c>
      <c r="G71" s="10" t="n">
        <v>2025</v>
      </c>
      <c r="H71" s="10" t="inlineStr">
        <is>
          <t>Beginner</t>
        </is>
      </c>
      <c r="I71" s="10" t="inlineStr">
        <is>
          <t>Active in 2026</t>
        </is>
      </c>
    </row>
    <row r="72">
      <c r="A72" s="10" t="n">
        <v>2025</v>
      </c>
      <c r="B72" s="10" t="inlineStr">
        <is>
          <t>GitHub</t>
        </is>
      </c>
      <c r="C72" s="10" t="inlineStr">
        <is>
          <t>anthropics/skills</t>
        </is>
      </c>
      <c r="D72" s="11" t="inlineStr">
        <is>
          <t>https://github.com/anthropics/skills</t>
        </is>
      </c>
      <c r="E72" s="10" t="inlineStr">
        <is>
          <t>Agent Skills</t>
        </is>
      </c>
      <c r="F72" s="10" t="inlineStr">
        <is>
          <t>03. Protocols and Interoperability Standards</t>
        </is>
      </c>
      <c r="G72" s="10" t="n">
        <v>2025</v>
      </c>
      <c r="H72" s="10" t="inlineStr">
        <is>
          <t>Beginner</t>
        </is>
      </c>
      <c r="I72" s="10" t="inlineStr">
        <is>
          <t>Active in 2026</t>
        </is>
      </c>
    </row>
    <row r="73">
      <c r="A73" s="10" t="n">
        <v>2025</v>
      </c>
      <c r="B73" s="10" t="inlineStr">
        <is>
          <t>Blog</t>
        </is>
      </c>
      <c r="C73" s="10" t="inlineStr">
        <is>
          <t>Anthropic: Equipping agents with Agent Skills</t>
        </is>
      </c>
      <c r="D73" s="11" t="inlineStr">
        <is>
          <t>https://www.anthropic.com/engineering/equipping-agents-for-the-real-world-with-agent-skills</t>
        </is>
      </c>
      <c r="E73" s="10" t="inlineStr">
        <is>
          <t>Agent Skills</t>
        </is>
      </c>
      <c r="F73" s="10" t="inlineStr">
        <is>
          <t>03. Protocols and Interoperability Standards</t>
        </is>
      </c>
      <c r="G73" s="10" t="n">
        <v>2025</v>
      </c>
      <c r="H73" s="10" t="inlineStr">
        <is>
          <t>Beginner</t>
        </is>
      </c>
      <c r="I73" s="10" t="inlineStr">
        <is>
          <t>Active in 2026</t>
        </is>
      </c>
    </row>
    <row r="74">
      <c r="A74" s="10" t="n">
        <v>2025</v>
      </c>
      <c r="B74" s="10" t="inlineStr">
        <is>
          <t>Spec</t>
        </is>
      </c>
      <c r="C74" s="10" t="inlineStr">
        <is>
          <t>agents.md</t>
        </is>
      </c>
      <c r="D74" s="11" t="inlineStr">
        <is>
          <t>https://agents.md</t>
        </is>
      </c>
      <c r="E74" s="10" t="inlineStr">
        <is>
          <t>AGENTS.md</t>
        </is>
      </c>
      <c r="F74" s="10" t="inlineStr">
        <is>
          <t>03. Protocols and Interoperability Standards</t>
        </is>
      </c>
      <c r="G74" s="10" t="n">
        <v>2025</v>
      </c>
      <c r="H74" s="10" t="inlineStr">
        <is>
          <t>Beginner</t>
        </is>
      </c>
      <c r="I74" s="10" t="inlineStr">
        <is>
          <t>Active in 2026</t>
        </is>
      </c>
    </row>
    <row r="75">
      <c r="A75" s="10" t="n">
        <v>2025</v>
      </c>
      <c r="B75" s="10" t="inlineStr">
        <is>
          <t>GitHub</t>
        </is>
      </c>
      <c r="C75" s="10" t="inlineStr">
        <is>
          <t>agentsmd/agents.md</t>
        </is>
      </c>
      <c r="D75" s="11" t="inlineStr">
        <is>
          <t>https://github.com/agentsmd/agents.md</t>
        </is>
      </c>
      <c r="E75" s="10" t="inlineStr">
        <is>
          <t>AGENTS.md</t>
        </is>
      </c>
      <c r="F75" s="10" t="inlineStr">
        <is>
          <t>03. Protocols and Interoperability Standards</t>
        </is>
      </c>
      <c r="G75" s="10" t="n">
        <v>2025</v>
      </c>
      <c r="H75" s="10" t="inlineStr">
        <is>
          <t>Beginner</t>
        </is>
      </c>
      <c r="I75" s="10" t="inlineStr">
        <is>
          <t>Active in 2026</t>
        </is>
      </c>
    </row>
    <row r="76">
      <c r="A76" s="10" t="n">
        <v>2025</v>
      </c>
      <c r="B76" s="10" t="inlineStr">
        <is>
          <t>Spec</t>
        </is>
      </c>
      <c r="C76" s="10" t="inlineStr">
        <is>
          <t>agentclientprotocol.com</t>
        </is>
      </c>
      <c r="D76" s="11" t="inlineStr">
        <is>
          <t>https://agentclientprotocol.com</t>
        </is>
      </c>
      <c r="E76" s="10" t="inlineStr">
        <is>
          <t>Agent Client Protocol</t>
        </is>
      </c>
      <c r="F76" s="10" t="inlineStr">
        <is>
          <t>03. Protocols and Interoperability Standards</t>
        </is>
      </c>
      <c r="G76" s="10" t="n">
        <v>2025</v>
      </c>
      <c r="H76" s="10" t="inlineStr">
        <is>
          <t>Intermediate</t>
        </is>
      </c>
      <c r="I76" s="10" t="inlineStr">
        <is>
          <t>Active in 2026</t>
        </is>
      </c>
    </row>
    <row r="77">
      <c r="A77" s="10" t="n">
        <v>2025</v>
      </c>
      <c r="B77" s="10" t="inlineStr">
        <is>
          <t>GitHub</t>
        </is>
      </c>
      <c r="C77" s="10" t="inlineStr">
        <is>
          <t>agent-client-protocol</t>
        </is>
      </c>
      <c r="D77" s="11" t="inlineStr">
        <is>
          <t>https://github.com/zed-industries/agent-client-protocol</t>
        </is>
      </c>
      <c r="E77" s="10" t="inlineStr">
        <is>
          <t>Agent Client Protocol</t>
        </is>
      </c>
      <c r="F77" s="10" t="inlineStr">
        <is>
          <t>03. Protocols and Interoperability Standards</t>
        </is>
      </c>
      <c r="G77" s="10" t="n">
        <v>2025</v>
      </c>
      <c r="H77" s="10" t="inlineStr">
        <is>
          <t>Intermediate</t>
        </is>
      </c>
      <c r="I77" s="10" t="inlineStr">
        <is>
          <t>Active in 2026</t>
        </is>
      </c>
    </row>
    <row r="78">
      <c r="A78" s="10" t="n">
        <v>2025</v>
      </c>
      <c r="B78" s="10" t="inlineStr">
        <is>
          <t>Docs</t>
        </is>
      </c>
      <c r="C78" s="10" t="inlineStr">
        <is>
          <t>AG-UI docs</t>
        </is>
      </c>
      <c r="D78" s="11" t="inlineStr">
        <is>
          <t>https://docs.ag-ui.com</t>
        </is>
      </c>
      <c r="E78" s="10" t="inlineStr">
        <is>
          <t>AG-UI</t>
        </is>
      </c>
      <c r="F78" s="10" t="inlineStr">
        <is>
          <t>03. Protocols and Interoperability Standards</t>
        </is>
      </c>
      <c r="G78" s="10" t="n">
        <v>2025</v>
      </c>
      <c r="H78" s="10" t="inlineStr">
        <is>
          <t>Intermediate</t>
        </is>
      </c>
      <c r="I78" s="10" t="inlineStr">
        <is>
          <t>Established</t>
        </is>
      </c>
    </row>
    <row r="79">
      <c r="A79" s="10" t="n">
        <v>2025</v>
      </c>
      <c r="B79" s="10" t="inlineStr">
        <is>
          <t>GitHub</t>
        </is>
      </c>
      <c r="C79" s="10" t="inlineStr">
        <is>
          <t>ag-ui</t>
        </is>
      </c>
      <c r="D79" s="11" t="inlineStr">
        <is>
          <t>https://github.com/ag-ui-protocol/ag-ui</t>
        </is>
      </c>
      <c r="E79" s="10" t="inlineStr">
        <is>
          <t>AG-UI</t>
        </is>
      </c>
      <c r="F79" s="10" t="inlineStr">
        <is>
          <t>03. Protocols and Interoperability Standards</t>
        </is>
      </c>
      <c r="G79" s="10" t="n">
        <v>2025</v>
      </c>
      <c r="H79" s="10" t="inlineStr">
        <is>
          <t>Intermediate</t>
        </is>
      </c>
      <c r="I79" s="10" t="inlineStr">
        <is>
          <t>Established</t>
        </is>
      </c>
    </row>
    <row r="80">
      <c r="A80" s="10" t="n">
        <v>2025</v>
      </c>
      <c r="B80" s="10" t="inlineStr">
        <is>
          <t>GitHub</t>
        </is>
      </c>
      <c r="C80" s="10" t="inlineStr">
        <is>
          <t>Agentic Commerce Protocol</t>
        </is>
      </c>
      <c r="D80" s="11" t="inlineStr">
        <is>
          <t>https://github.com/agentic-commerce-protocol/agentic-commerce-protocol</t>
        </is>
      </c>
      <c r="E80" s="10" t="inlineStr">
        <is>
          <t>Agentic commerce protocols</t>
        </is>
      </c>
      <c r="F80" s="10" t="inlineStr">
        <is>
          <t>03. Protocols and Interoperability Standards</t>
        </is>
      </c>
      <c r="G80" s="10" t="n">
        <v>2025</v>
      </c>
      <c r="H80" s="10" t="inlineStr">
        <is>
          <t>Intermediate</t>
        </is>
      </c>
      <c r="I80" s="10" t="inlineStr">
        <is>
          <t>Active in 2026</t>
        </is>
      </c>
    </row>
    <row r="81">
      <c r="A81" s="10" t="n">
        <v>2025</v>
      </c>
      <c r="B81" s="10" t="inlineStr">
        <is>
          <t>GitHub</t>
        </is>
      </c>
      <c r="C81" s="10" t="inlineStr">
        <is>
          <t>AP2</t>
        </is>
      </c>
      <c r="D81" s="11" t="inlineStr">
        <is>
          <t>https://github.com/google-agentic-commerce/AP2</t>
        </is>
      </c>
      <c r="E81" s="10" t="inlineStr">
        <is>
          <t>Agentic commerce protocols</t>
        </is>
      </c>
      <c r="F81" s="10" t="inlineStr">
        <is>
          <t>03. Protocols and Interoperability Standards</t>
        </is>
      </c>
      <c r="G81" s="10" t="n">
        <v>2025</v>
      </c>
      <c r="H81" s="10" t="inlineStr">
        <is>
          <t>Intermediate</t>
        </is>
      </c>
      <c r="I81" s="10" t="inlineStr">
        <is>
          <t>Active in 2026</t>
        </is>
      </c>
    </row>
    <row r="82">
      <c r="A82" s="10" t="n">
        <v>2026</v>
      </c>
      <c r="B82" s="10" t="inlineStr">
        <is>
          <t>Spec</t>
        </is>
      </c>
      <c r="C82" s="10" t="inlineStr">
        <is>
          <t>Universal Commerce Protocol</t>
        </is>
      </c>
      <c r="D82" s="11" t="inlineStr">
        <is>
          <t>https://ucp.dev</t>
        </is>
      </c>
      <c r="E82" s="10" t="inlineStr">
        <is>
          <t>Agentic commerce protocols</t>
        </is>
      </c>
      <c r="F82" s="10" t="inlineStr">
        <is>
          <t>03. Protocols and Interoperability Standards</t>
        </is>
      </c>
      <c r="G82" s="10" t="n">
        <v>2025</v>
      </c>
      <c r="H82" s="10" t="inlineStr">
        <is>
          <t>Intermediate</t>
        </is>
      </c>
      <c r="I82" s="10" t="inlineStr">
        <is>
          <t>Active in 2026</t>
        </is>
      </c>
    </row>
    <row r="83">
      <c r="A83" s="10" t="n">
        <v>2025</v>
      </c>
      <c r="B83" s="10" t="inlineStr">
        <is>
          <t>GitHub</t>
        </is>
      </c>
      <c r="C83" s="10" t="inlineStr">
        <is>
          <t>x402</t>
        </is>
      </c>
      <c r="D83" s="11" t="inlineStr">
        <is>
          <t>https://github.com/coinbase/x402</t>
        </is>
      </c>
      <c r="E83" s="10" t="inlineStr">
        <is>
          <t>Agentic commerce protocols</t>
        </is>
      </c>
      <c r="F83" s="10" t="inlineStr">
        <is>
          <t>03. Protocols and Interoperability Standards</t>
        </is>
      </c>
      <c r="G83" s="10" t="n">
        <v>2025</v>
      </c>
      <c r="H83" s="10" t="inlineStr">
        <is>
          <t>Intermediate</t>
        </is>
      </c>
      <c r="I83" s="10" t="inlineStr">
        <is>
          <t>Active in 2026</t>
        </is>
      </c>
    </row>
    <row r="84">
      <c r="A84" s="10" t="n">
        <v>2024</v>
      </c>
      <c r="B84" s="10" t="inlineStr">
        <is>
          <t>Spec</t>
        </is>
      </c>
      <c r="C84" s="10" t="inlineStr">
        <is>
          <t>llmstxt.org</t>
        </is>
      </c>
      <c r="D84" s="11" t="inlineStr">
        <is>
          <t>https://llmstxt.org</t>
        </is>
      </c>
      <c r="E84" s="10" t="inlineStr">
        <is>
          <t>llms.txt</t>
        </is>
      </c>
      <c r="F84" s="10" t="inlineStr">
        <is>
          <t>03. Protocols and Interoperability Standards</t>
        </is>
      </c>
      <c r="G84" s="10" t="n">
        <v>2024</v>
      </c>
      <c r="H84" s="10" t="inlineStr">
        <is>
          <t>Beginner</t>
        </is>
      </c>
      <c r="I84" s="10" t="inlineStr">
        <is>
          <t>Established</t>
        </is>
      </c>
    </row>
    <row r="85">
      <c r="A85" s="10" t="n">
        <v>2024</v>
      </c>
      <c r="B85" s="10" t="inlineStr">
        <is>
          <t>Spec</t>
        </is>
      </c>
      <c r="C85" s="10" t="inlineStr">
        <is>
          <t>OTel GenAI semantic conventions</t>
        </is>
      </c>
      <c r="D85" s="11" t="inlineStr">
        <is>
          <t>https://opentelemetry.io/docs/specs/semconv/gen-ai/</t>
        </is>
      </c>
      <c r="E85" s="10" t="inlineStr">
        <is>
          <t>OpenTelemetry GenAI conventions</t>
        </is>
      </c>
      <c r="F85" s="10" t="inlineStr">
        <is>
          <t>03. Protocols and Interoperability Standards</t>
        </is>
      </c>
      <c r="G85" s="10" t="n">
        <v>2024</v>
      </c>
      <c r="H85" s="10" t="inlineStr">
        <is>
          <t>Intermediate</t>
        </is>
      </c>
      <c r="I85" s="10" t="inlineStr">
        <is>
          <t>Active in 2026</t>
        </is>
      </c>
    </row>
    <row r="86">
      <c r="A86" s="10" t="n">
        <v>2025</v>
      </c>
      <c r="B86" s="10" t="inlineStr">
        <is>
          <t>GitHub</t>
        </is>
      </c>
      <c r="C86" s="10" t="inlineStr">
        <is>
          <t>Claude Code</t>
        </is>
      </c>
      <c r="D86" s="11" t="inlineStr">
        <is>
          <t>https://github.com/anthropics/claude-code</t>
        </is>
      </c>
      <c r="E86" s="10" t="inlineStr">
        <is>
          <t>Coding agents</t>
        </is>
      </c>
      <c r="F86" s="10" t="inlineStr">
        <is>
          <t>04. Agentic Coding and Developer Workflow</t>
        </is>
      </c>
      <c r="G86" s="10" t="n">
        <v>2024</v>
      </c>
      <c r="H86" s="10" t="inlineStr">
        <is>
          <t>Beginner</t>
        </is>
      </c>
      <c r="I86" s="10" t="inlineStr">
        <is>
          <t>Active in 2026</t>
        </is>
      </c>
    </row>
    <row r="87">
      <c r="A87" s="10" t="n">
        <v>2025</v>
      </c>
      <c r="B87" s="10" t="inlineStr">
        <is>
          <t>GitHub</t>
        </is>
      </c>
      <c r="C87" s="10" t="inlineStr">
        <is>
          <t>OpenAI Codex CLI</t>
        </is>
      </c>
      <c r="D87" s="11" t="inlineStr">
        <is>
          <t>https://github.com/openai/codex</t>
        </is>
      </c>
      <c r="E87" s="10" t="inlineStr">
        <is>
          <t>Coding agents</t>
        </is>
      </c>
      <c r="F87" s="10" t="inlineStr">
        <is>
          <t>04. Agentic Coding and Developer Workflow</t>
        </is>
      </c>
      <c r="G87" s="10" t="n">
        <v>2024</v>
      </c>
      <c r="H87" s="10" t="inlineStr">
        <is>
          <t>Beginner</t>
        </is>
      </c>
      <c r="I87" s="10" t="inlineStr">
        <is>
          <t>Active in 2026</t>
        </is>
      </c>
    </row>
    <row r="88">
      <c r="A88" s="10" t="n">
        <v>2025</v>
      </c>
      <c r="B88" s="10" t="inlineStr">
        <is>
          <t>GitHub</t>
        </is>
      </c>
      <c r="C88" s="10" t="inlineStr">
        <is>
          <t>Gemini CLI</t>
        </is>
      </c>
      <c r="D88" s="11" t="inlineStr">
        <is>
          <t>https://github.com/google-gemini/gemini-cli</t>
        </is>
      </c>
      <c r="E88" s="10" t="inlineStr">
        <is>
          <t>Coding agents</t>
        </is>
      </c>
      <c r="F88" s="10" t="inlineStr">
        <is>
          <t>04. Agentic Coding and Developer Workflow</t>
        </is>
      </c>
      <c r="G88" s="10" t="n">
        <v>2024</v>
      </c>
      <c r="H88" s="10" t="inlineStr">
        <is>
          <t>Beginner</t>
        </is>
      </c>
      <c r="I88" s="10" t="inlineStr">
        <is>
          <t>Active in 2026</t>
        </is>
      </c>
    </row>
    <row r="89">
      <c r="A89" s="10" t="n">
        <v>2024</v>
      </c>
      <c r="B89" s="10" t="inlineStr">
        <is>
          <t>GitHub</t>
        </is>
      </c>
      <c r="C89" s="10" t="inlineStr">
        <is>
          <t>OpenHands</t>
        </is>
      </c>
      <c r="D89" s="11" t="inlineStr">
        <is>
          <t>https://github.com/OpenHands/OpenHands</t>
        </is>
      </c>
      <c r="E89" s="10" t="inlineStr">
        <is>
          <t>Coding agents</t>
        </is>
      </c>
      <c r="F89" s="10" t="inlineStr">
        <is>
          <t>04. Agentic Coding and Developer Workflow</t>
        </is>
      </c>
      <c r="G89" s="10" t="n">
        <v>2024</v>
      </c>
      <c r="H89" s="10" t="inlineStr">
        <is>
          <t>Beginner</t>
        </is>
      </c>
      <c r="I89" s="10" t="inlineStr">
        <is>
          <t>Active in 2026</t>
        </is>
      </c>
    </row>
    <row r="90">
      <c r="A90" s="10" t="n">
        <v>2025</v>
      </c>
      <c r="B90" s="10" t="inlineStr">
        <is>
          <t>GitHub</t>
        </is>
      </c>
      <c r="C90" s="10" t="inlineStr">
        <is>
          <t>OpenCode</t>
        </is>
      </c>
      <c r="D90" s="11" t="inlineStr">
        <is>
          <t>https://github.com/sst/opencode</t>
        </is>
      </c>
      <c r="E90" s="10" t="inlineStr">
        <is>
          <t>Coding agents</t>
        </is>
      </c>
      <c r="F90" s="10" t="inlineStr">
        <is>
          <t>04. Agentic Coding and Developer Workflow</t>
        </is>
      </c>
      <c r="G90" s="10" t="n">
        <v>2024</v>
      </c>
      <c r="H90" s="10" t="inlineStr">
        <is>
          <t>Beginner</t>
        </is>
      </c>
      <c r="I90" s="10" t="inlineStr">
        <is>
          <t>Active in 2026</t>
        </is>
      </c>
    </row>
    <row r="91">
      <c r="A91" s="10" t="n">
        <v>2023</v>
      </c>
      <c r="B91" s="10" t="inlineStr">
        <is>
          <t>GitHub</t>
        </is>
      </c>
      <c r="C91" s="10" t="inlineStr">
        <is>
          <t>Aider</t>
        </is>
      </c>
      <c r="D91" s="11" t="inlineStr">
        <is>
          <t>https://github.com/Aider-AI/aider</t>
        </is>
      </c>
      <c r="E91" s="10" t="inlineStr">
        <is>
          <t>Coding agents</t>
        </is>
      </c>
      <c r="F91" s="10" t="inlineStr">
        <is>
          <t>04. Agentic Coding and Developer Workflow</t>
        </is>
      </c>
      <c r="G91" s="10" t="n">
        <v>2024</v>
      </c>
      <c r="H91" s="10" t="inlineStr">
        <is>
          <t>Beginner</t>
        </is>
      </c>
      <c r="I91" s="10" t="inlineStr">
        <is>
          <t>Active in 2026</t>
        </is>
      </c>
    </row>
    <row r="92">
      <c r="A92" s="10" t="n">
        <v>2025</v>
      </c>
      <c r="B92" s="10" t="inlineStr">
        <is>
          <t>Blog</t>
        </is>
      </c>
      <c r="C92" s="10" t="inlineStr">
        <is>
          <t>Karpathy's original post</t>
        </is>
      </c>
      <c r="D92" s="11" t="inlineStr">
        <is>
          <t>https://x.com/karpathy/status/1886192184808149383</t>
        </is>
      </c>
      <c r="E92" s="10" t="inlineStr">
        <is>
          <t>Vibe coding</t>
        </is>
      </c>
      <c r="F92" s="10" t="inlineStr">
        <is>
          <t>04. Agentic Coding and Developer Workflow</t>
        </is>
      </c>
      <c r="G92" s="10" t="n">
        <v>2025</v>
      </c>
      <c r="H92" s="10" t="inlineStr">
        <is>
          <t>Beginner</t>
        </is>
      </c>
      <c r="I92" s="10" t="inlineStr">
        <is>
          <t>Established</t>
        </is>
      </c>
    </row>
    <row r="93">
      <c r="A93" s="10" t="n">
        <v>2025</v>
      </c>
      <c r="B93" s="10" t="inlineStr">
        <is>
          <t>Blog</t>
        </is>
      </c>
      <c r="C93" s="10" t="inlineStr">
        <is>
          <t>Simon Willison: Not all AI-assisted programming is vibe coding</t>
        </is>
      </c>
      <c r="D93" s="11" t="inlineStr">
        <is>
          <t>https://simonwillison.net/2025/Mar/19/vibe-coding/</t>
        </is>
      </c>
      <c r="E93" s="10" t="inlineStr">
        <is>
          <t>Vibe coding</t>
        </is>
      </c>
      <c r="F93" s="10" t="inlineStr">
        <is>
          <t>04. Agentic Coding and Developer Workflow</t>
        </is>
      </c>
      <c r="G93" s="10" t="n">
        <v>2025</v>
      </c>
      <c r="H93" s="10" t="inlineStr">
        <is>
          <t>Beginner</t>
        </is>
      </c>
      <c r="I93" s="10" t="inlineStr">
        <is>
          <t>Established</t>
        </is>
      </c>
    </row>
    <row r="94">
      <c r="A94" s="10" t="n">
        <v>2025</v>
      </c>
      <c r="B94" s="10" t="inlineStr">
        <is>
          <t>Video</t>
        </is>
      </c>
      <c r="C94" s="10" t="inlineStr">
        <is>
          <t>Karpathy: Software is changing (again)</t>
        </is>
      </c>
      <c r="D94" s="11" t="inlineStr">
        <is>
          <t>https://www.youtube.com/watch?v=LCEmiRjPEtQ</t>
        </is>
      </c>
      <c r="E94" s="10" t="inlineStr">
        <is>
          <t>Agentic engineering / Software 3.0</t>
        </is>
      </c>
      <c r="F94" s="10" t="inlineStr">
        <is>
          <t>04. Agentic Coding and Developer Workflow</t>
        </is>
      </c>
      <c r="G94" s="10" t="n">
        <v>2025</v>
      </c>
      <c r="H94" s="10" t="inlineStr">
        <is>
          <t>Intermediate</t>
        </is>
      </c>
      <c r="I94" s="10" t="inlineStr">
        <is>
          <t>Active in 2026</t>
        </is>
      </c>
    </row>
    <row r="95">
      <c r="A95" s="10" t="n">
        <v>2025</v>
      </c>
      <c r="B95" s="10" t="inlineStr">
        <is>
          <t>Blog</t>
        </is>
      </c>
      <c r="C95" s="10" t="inlineStr">
        <is>
          <t>Anthropic: Claude Code best practices</t>
        </is>
      </c>
      <c r="D95" s="11" t="inlineStr">
        <is>
          <t>https://www.anthropic.com/engineering/claude-code-best-practices</t>
        </is>
      </c>
      <c r="E95" s="10" t="inlineStr">
        <is>
          <t>Agentic engineering / Software 3.0</t>
        </is>
      </c>
      <c r="F95" s="10" t="inlineStr">
        <is>
          <t>04. Agentic Coding and Developer Workflow</t>
        </is>
      </c>
      <c r="G95" s="10" t="n">
        <v>2025</v>
      </c>
      <c r="H95" s="10" t="inlineStr">
        <is>
          <t>Intermediate</t>
        </is>
      </c>
      <c r="I95" s="10" t="inlineStr">
        <is>
          <t>Active in 2026</t>
        </is>
      </c>
    </row>
    <row r="96">
      <c r="A96" s="10" t="n">
        <v>2025</v>
      </c>
      <c r="B96" s="10" t="inlineStr">
        <is>
          <t>GitHub</t>
        </is>
      </c>
      <c r="C96" s="10" t="inlineStr">
        <is>
          <t>GitHub Spec Kit</t>
        </is>
      </c>
      <c r="D96" s="11" t="inlineStr">
        <is>
          <t>https://github.com/github/spec-kit</t>
        </is>
      </c>
      <c r="E96" s="10" t="inlineStr">
        <is>
          <t>Spec-driven development</t>
        </is>
      </c>
      <c r="F96" s="10" t="inlineStr">
        <is>
          <t>04. Agentic Coding and Developer Workflow</t>
        </is>
      </c>
      <c r="G96" s="10" t="n">
        <v>2025</v>
      </c>
      <c r="H96" s="10" t="inlineStr">
        <is>
          <t>Intermediate</t>
        </is>
      </c>
      <c r="I96" s="10" t="inlineStr">
        <is>
          <t>Active in 2026</t>
        </is>
      </c>
    </row>
    <row r="97">
      <c r="A97" s="10" t="n">
        <v>2025</v>
      </c>
      <c r="B97" s="10" t="inlineStr">
        <is>
          <t>Docs</t>
        </is>
      </c>
      <c r="C97" s="10" t="inlineStr">
        <is>
          <t>Kiro</t>
        </is>
      </c>
      <c r="D97" s="11" t="inlineStr">
        <is>
          <t>https://kiro.dev</t>
        </is>
      </c>
      <c r="E97" s="10" t="inlineStr">
        <is>
          <t>Spec-driven development</t>
        </is>
      </c>
      <c r="F97" s="10" t="inlineStr">
        <is>
          <t>04. Agentic Coding and Developer Workflow</t>
        </is>
      </c>
      <c r="G97" s="10" t="n">
        <v>2025</v>
      </c>
      <c r="H97" s="10" t="inlineStr">
        <is>
          <t>Intermediate</t>
        </is>
      </c>
      <c r="I97" s="10" t="inlineStr">
        <is>
          <t>Active in 2026</t>
        </is>
      </c>
    </row>
    <row r="98">
      <c r="A98" s="10" t="n">
        <v>2025</v>
      </c>
      <c r="B98" s="10" t="inlineStr">
        <is>
          <t>Blog</t>
        </is>
      </c>
      <c r="C98" s="10" t="inlineStr">
        <is>
          <t>Geoffrey Huntley: Ralph</t>
        </is>
      </c>
      <c r="D98" s="11" t="inlineStr">
        <is>
          <t>https://ghuntley.com/ralph/</t>
        </is>
      </c>
      <c r="E98" s="10" t="inlineStr">
        <is>
          <t>Ralph loop</t>
        </is>
      </c>
      <c r="F98" s="10" t="inlineStr">
        <is>
          <t>04. Agentic Coding and Developer Workflow</t>
        </is>
      </c>
      <c r="G98" s="10" t="n">
        <v>2025</v>
      </c>
      <c r="H98" s="10" t="inlineStr">
        <is>
          <t>Intermediate</t>
        </is>
      </c>
      <c r="I98" s="10" t="inlineStr">
        <is>
          <t>Active in 2026</t>
        </is>
      </c>
    </row>
    <row r="99">
      <c r="A99" s="10" t="n">
        <v>2025</v>
      </c>
      <c r="B99" s="10" t="inlineStr">
        <is>
          <t>Docs</t>
        </is>
      </c>
      <c r="C99" s="10" t="inlineStr">
        <is>
          <t>Claude Code hooks</t>
        </is>
      </c>
      <c r="D99" s="11" t="inlineStr">
        <is>
          <t>https://docs.claude.com/en/docs/claude-code/hooks</t>
        </is>
      </c>
      <c r="E99" s="10" t="inlineStr">
        <is>
          <t>Hooks, plugins and slash commands</t>
        </is>
      </c>
      <c r="F99" s="10" t="inlineStr">
        <is>
          <t>04. Agentic Coding and Developer Workflow</t>
        </is>
      </c>
      <c r="G99" s="10" t="n">
        <v>2025</v>
      </c>
      <c r="H99" s="10" t="inlineStr">
        <is>
          <t>Intermediate</t>
        </is>
      </c>
      <c r="I99" s="10" t="inlineStr">
        <is>
          <t>Active in 2026</t>
        </is>
      </c>
    </row>
    <row r="100">
      <c r="A100" s="10" t="n">
        <v>2025</v>
      </c>
      <c r="B100" s="10" t="inlineStr">
        <is>
          <t>Docs</t>
        </is>
      </c>
      <c r="C100" s="10" t="inlineStr">
        <is>
          <t>Claude Code plugins</t>
        </is>
      </c>
      <c r="D100" s="11" t="inlineStr">
        <is>
          <t>https://docs.claude.com/en/docs/claude-code/plugins</t>
        </is>
      </c>
      <c r="E100" s="10" t="inlineStr">
        <is>
          <t>Hooks, plugins and slash commands</t>
        </is>
      </c>
      <c r="F100" s="10" t="inlineStr">
        <is>
          <t>04. Agentic Coding and Developer Workflow</t>
        </is>
      </c>
      <c r="G100" s="10" t="n">
        <v>2025</v>
      </c>
      <c r="H100" s="10" t="inlineStr">
        <is>
          <t>Intermediate</t>
        </is>
      </c>
      <c r="I100" s="10" t="inlineStr">
        <is>
          <t>Active in 2026</t>
        </is>
      </c>
    </row>
    <row r="101">
      <c r="A101" s="10" t="n">
        <v>2015</v>
      </c>
      <c r="B101" s="10" t="inlineStr">
        <is>
          <t>Docs</t>
        </is>
      </c>
      <c r="C101" s="10" t="inlineStr">
        <is>
          <t>git worktree docs</t>
        </is>
      </c>
      <c r="D101" s="11" t="inlineStr">
        <is>
          <t>https://git-scm.com/docs/git-worktree</t>
        </is>
      </c>
      <c r="E101" s="10" t="inlineStr">
        <is>
          <t>Parallel agents with git worktrees</t>
        </is>
      </c>
      <c r="F101" s="10" t="inlineStr">
        <is>
          <t>04. Agentic Coding and Developer Workflow</t>
        </is>
      </c>
      <c r="G101" s="10" t="n">
        <v>2025</v>
      </c>
      <c r="H101" s="10" t="inlineStr">
        <is>
          <t>Intermediate</t>
        </is>
      </c>
      <c r="I101" s="10" t="inlineStr">
        <is>
          <t>Active in 2026</t>
        </is>
      </c>
    </row>
    <row r="102">
      <c r="A102" s="10" t="n">
        <v>2025</v>
      </c>
      <c r="B102" s="10" t="inlineStr">
        <is>
          <t>GitHub</t>
        </is>
      </c>
      <c r="C102" s="10" t="inlineStr">
        <is>
          <t>container-use</t>
        </is>
      </c>
      <c r="D102" s="11" t="inlineStr">
        <is>
          <t>https://github.com/dagger/container-use</t>
        </is>
      </c>
      <c r="E102" s="10" t="inlineStr">
        <is>
          <t>Parallel agents with git worktrees</t>
        </is>
      </c>
      <c r="F102" s="10" t="inlineStr">
        <is>
          <t>04. Agentic Coding and Developer Workflow</t>
        </is>
      </c>
      <c r="G102" s="10" t="n">
        <v>2025</v>
      </c>
      <c r="H102" s="10" t="inlineStr">
        <is>
          <t>Intermediate</t>
        </is>
      </c>
      <c r="I102" s="10" t="inlineStr">
        <is>
          <t>Active in 2026</t>
        </is>
      </c>
    </row>
    <row r="103">
      <c r="A103" s="10" t="n">
        <v>2026</v>
      </c>
      <c r="B103" s="10" t="inlineStr">
        <is>
          <t>Blog</t>
        </is>
      </c>
      <c r="C103" s="10" t="inlineStr">
        <is>
          <t>Faros: Harness engineering and the senior engineer tax</t>
        </is>
      </c>
      <c r="D103" s="11" t="inlineStr">
        <is>
          <t>https://www.faros.ai/blog/harness-engineering</t>
        </is>
      </c>
      <c r="E103" s="10" t="inlineStr">
        <is>
          <t>The review bottleneck</t>
        </is>
      </c>
      <c r="F103" s="10" t="inlineStr">
        <is>
          <t>04. Agentic Coding and Developer Workflow</t>
        </is>
      </c>
      <c r="G103" s="10" t="n">
        <v>2026</v>
      </c>
      <c r="H103" s="10" t="inlineStr">
        <is>
          <t>Intermediate</t>
        </is>
      </c>
      <c r="I103" s="10" t="inlineStr">
        <is>
          <t>New in 2026</t>
        </is>
      </c>
    </row>
    <row r="104">
      <c r="A104" s="10" t="n">
        <v>2025</v>
      </c>
      <c r="B104" s="10" t="inlineStr">
        <is>
          <t>Blog</t>
        </is>
      </c>
      <c r="C104" s="10" t="inlineStr">
        <is>
          <t>Anthropic: Effective context engineering for AI agents</t>
        </is>
      </c>
      <c r="D104" s="11" t="inlineStr">
        <is>
          <t>https://www.anthropic.com/engineering/effective-context-engineering-for-ai-agents</t>
        </is>
      </c>
      <c r="E104" s="10" t="inlineStr">
        <is>
          <t>Context engineering</t>
        </is>
      </c>
      <c r="F104" s="10" t="inlineStr">
        <is>
          <t>05. Context, Memory and Retrieval</t>
        </is>
      </c>
      <c r="G104" s="10" t="n">
        <v>2025</v>
      </c>
      <c r="H104" s="10" t="inlineStr">
        <is>
          <t>Beginner</t>
        </is>
      </c>
      <c r="I104" s="10" t="inlineStr">
        <is>
          <t>Active in 2026</t>
        </is>
      </c>
    </row>
    <row r="105">
      <c r="A105" s="10" t="n">
        <v>2025</v>
      </c>
      <c r="B105" s="10" t="inlineStr">
        <is>
          <t>Blog</t>
        </is>
      </c>
      <c r="C105" s="10" t="inlineStr">
        <is>
          <t>LangChain: Context engineering for agents</t>
        </is>
      </c>
      <c r="D105" s="11" t="inlineStr">
        <is>
          <t>https://blog.langchain.com/context-engineering-for-agents/</t>
        </is>
      </c>
      <c r="E105" s="10" t="inlineStr">
        <is>
          <t>Context engineering</t>
        </is>
      </c>
      <c r="F105" s="10" t="inlineStr">
        <is>
          <t>05. Context, Memory and Retrieval</t>
        </is>
      </c>
      <c r="G105" s="10" t="n">
        <v>2025</v>
      </c>
      <c r="H105" s="10" t="inlineStr">
        <is>
          <t>Beginner</t>
        </is>
      </c>
      <c r="I105" s="10" t="inlineStr">
        <is>
          <t>Active in 2026</t>
        </is>
      </c>
    </row>
    <row r="106">
      <c r="A106" s="10" t="n">
        <v>2025</v>
      </c>
      <c r="B106" s="10" t="inlineStr">
        <is>
          <t>Blog</t>
        </is>
      </c>
      <c r="C106" s="10" t="inlineStr">
        <is>
          <t>Chroma Research: Context rot</t>
        </is>
      </c>
      <c r="D106" s="11" t="inlineStr">
        <is>
          <t>https://research.trychroma.com/context-rot</t>
        </is>
      </c>
      <c r="E106" s="10" t="inlineStr">
        <is>
          <t>Context rot</t>
        </is>
      </c>
      <c r="F106" s="10" t="inlineStr">
        <is>
          <t>05. Context, Memory and Retrieval</t>
        </is>
      </c>
      <c r="G106" s="10" t="n">
        <v>2025</v>
      </c>
      <c r="H106" s="10" t="inlineStr">
        <is>
          <t>Beginner</t>
        </is>
      </c>
      <c r="I106" s="10" t="inlineStr">
        <is>
          <t>Established</t>
        </is>
      </c>
    </row>
    <row r="107">
      <c r="A107" s="10" t="n">
        <v>2025</v>
      </c>
      <c r="B107" s="10" t="inlineStr">
        <is>
          <t>Blog</t>
        </is>
      </c>
      <c r="C107" s="10" t="inlineStr">
        <is>
          <t>Anthropic: Managing context on the Claude Developer Platform</t>
        </is>
      </c>
      <c r="D107" s="11" t="inlineStr">
        <is>
          <t>https://www.anthropic.com/news/context-management</t>
        </is>
      </c>
      <c r="E107" s="10" t="inlineStr">
        <is>
          <t>Compaction and context editing</t>
        </is>
      </c>
      <c r="F107" s="10" t="inlineStr">
        <is>
          <t>05. Context, Memory and Retrieval</t>
        </is>
      </c>
      <c r="G107" s="10" t="n">
        <v>2025</v>
      </c>
      <c r="H107" s="10" t="inlineStr">
        <is>
          <t>Intermediate</t>
        </is>
      </c>
      <c r="I107" s="10" t="inlineStr">
        <is>
          <t>Active in 2026</t>
        </is>
      </c>
    </row>
    <row r="108">
      <c r="A108" s="10" t="n">
        <v>2024</v>
      </c>
      <c r="B108" s="10" t="inlineStr">
        <is>
          <t>Docs</t>
        </is>
      </c>
      <c r="C108" s="10" t="inlineStr">
        <is>
          <t>Claude prompt caching</t>
        </is>
      </c>
      <c r="D108" s="11" t="inlineStr">
        <is>
          <t>https://docs.claude.com/en/docs/build-with-claude/prompt-caching</t>
        </is>
      </c>
      <c r="E108" s="10" t="inlineStr">
        <is>
          <t>Prompt caching</t>
        </is>
      </c>
      <c r="F108" s="10" t="inlineStr">
        <is>
          <t>05. Context, Memory and Retrieval</t>
        </is>
      </c>
      <c r="G108" s="10" t="n">
        <v>2024</v>
      </c>
      <c r="H108" s="10" t="inlineStr">
        <is>
          <t>Intermediate</t>
        </is>
      </c>
      <c r="I108" s="10" t="inlineStr">
        <is>
          <t>Active in 2026</t>
        </is>
      </c>
    </row>
    <row r="109">
      <c r="A109" s="10" t="n">
        <v>2023</v>
      </c>
      <c r="B109" s="10" t="inlineStr">
        <is>
          <t>GitHub</t>
        </is>
      </c>
      <c r="C109" s="10" t="inlineStr">
        <is>
          <t>Letta (MemGPT)</t>
        </is>
      </c>
      <c r="D109" s="11" t="inlineStr">
        <is>
          <t>https://github.com/letta-ai/letta</t>
        </is>
      </c>
      <c r="E109" s="10" t="inlineStr">
        <is>
          <t>Agent memory</t>
        </is>
      </c>
      <c r="F109" s="10" t="inlineStr">
        <is>
          <t>05. Context, Memory and Retrieval</t>
        </is>
      </c>
      <c r="G109" s="10" t="n">
        <v>2023</v>
      </c>
      <c r="H109" s="10" t="inlineStr">
        <is>
          <t>Intermediate</t>
        </is>
      </c>
      <c r="I109" s="10" t="inlineStr">
        <is>
          <t>Active in 2026</t>
        </is>
      </c>
    </row>
    <row r="110">
      <c r="A110" s="10" t="n">
        <v>2024</v>
      </c>
      <c r="B110" s="10" t="inlineStr">
        <is>
          <t>GitHub</t>
        </is>
      </c>
      <c r="C110" s="10" t="inlineStr">
        <is>
          <t>mem0</t>
        </is>
      </c>
      <c r="D110" s="11" t="inlineStr">
        <is>
          <t>https://github.com/mem0ai/mem0</t>
        </is>
      </c>
      <c r="E110" s="10" t="inlineStr">
        <is>
          <t>Agent memory</t>
        </is>
      </c>
      <c r="F110" s="10" t="inlineStr">
        <is>
          <t>05. Context, Memory and Retrieval</t>
        </is>
      </c>
      <c r="G110" s="10" t="n">
        <v>2023</v>
      </c>
      <c r="H110" s="10" t="inlineStr">
        <is>
          <t>Intermediate</t>
        </is>
      </c>
      <c r="I110" s="10" t="inlineStr">
        <is>
          <t>Active in 2026</t>
        </is>
      </c>
    </row>
    <row r="111">
      <c r="A111" s="10" t="n">
        <v>2024</v>
      </c>
      <c r="B111" s="10" t="inlineStr">
        <is>
          <t>GitHub</t>
        </is>
      </c>
      <c r="C111" s="10" t="inlineStr">
        <is>
          <t>Graphiti</t>
        </is>
      </c>
      <c r="D111" s="11" t="inlineStr">
        <is>
          <t>https://github.com/getzep/graphiti</t>
        </is>
      </c>
      <c r="E111" s="10" t="inlineStr">
        <is>
          <t>Agent memory</t>
        </is>
      </c>
      <c r="F111" s="10" t="inlineStr">
        <is>
          <t>05. Context, Memory and Retrieval</t>
        </is>
      </c>
      <c r="G111" s="10" t="n">
        <v>2023</v>
      </c>
      <c r="H111" s="10" t="inlineStr">
        <is>
          <t>Intermediate</t>
        </is>
      </c>
      <c r="I111" s="10" t="inlineStr">
        <is>
          <t>Active in 2026</t>
        </is>
      </c>
    </row>
    <row r="112">
      <c r="A112" s="10" t="n">
        <v>2020</v>
      </c>
      <c r="B112" s="10" t="inlineStr">
        <is>
          <t>Paper</t>
        </is>
      </c>
      <c r="C112" s="10" t="inlineStr">
        <is>
          <t>Original RAG paper</t>
        </is>
      </c>
      <c r="D112" s="11" t="inlineStr">
        <is>
          <t>https://arxiv.org/abs/2005.11401</t>
        </is>
      </c>
      <c r="E112" s="10" t="inlineStr">
        <is>
          <t>Retrieval-augmented generation</t>
        </is>
      </c>
      <c r="F112" s="10" t="inlineStr">
        <is>
          <t>05. Context, Memory and Retrieval</t>
        </is>
      </c>
      <c r="G112" s="10" t="n">
        <v>2020</v>
      </c>
      <c r="H112" s="10" t="inlineStr">
        <is>
          <t>Beginner</t>
        </is>
      </c>
      <c r="I112" s="10" t="inlineStr">
        <is>
          <t>Active in 2026</t>
        </is>
      </c>
    </row>
    <row r="113">
      <c r="A113" s="10" t="n">
        <v>2024</v>
      </c>
      <c r="B113" s="10" t="inlineStr">
        <is>
          <t>Blog</t>
        </is>
      </c>
      <c r="C113" s="10" t="inlineStr">
        <is>
          <t>Anthropic: Contextual retrieval</t>
        </is>
      </c>
      <c r="D113" s="11" t="inlineStr">
        <is>
          <t>https://www.anthropic.com/news/contextual-retrieval</t>
        </is>
      </c>
      <c r="E113" s="10" t="inlineStr">
        <is>
          <t>Retrieval-augmented generation</t>
        </is>
      </c>
      <c r="F113" s="10" t="inlineStr">
        <is>
          <t>05. Context, Memory and Retrieval</t>
        </is>
      </c>
      <c r="G113" s="10" t="n">
        <v>2020</v>
      </c>
      <c r="H113" s="10" t="inlineStr">
        <is>
          <t>Beginner</t>
        </is>
      </c>
      <c r="I113" s="10" t="inlineStr">
        <is>
          <t>Active in 2026</t>
        </is>
      </c>
    </row>
    <row r="114">
      <c r="A114" s="10" t="n">
        <v>2022</v>
      </c>
      <c r="B114" s="10" t="inlineStr">
        <is>
          <t>GitHub</t>
        </is>
      </c>
      <c r="C114" s="10" t="inlineStr">
        <is>
          <t>LlamaIndex</t>
        </is>
      </c>
      <c r="D114" s="11" t="inlineStr">
        <is>
          <t>https://github.com/run-llama/llama_index</t>
        </is>
      </c>
      <c r="E114" s="10" t="inlineStr">
        <is>
          <t>Retrieval-augmented generation</t>
        </is>
      </c>
      <c r="F114" s="10" t="inlineStr">
        <is>
          <t>05. Context, Memory and Retrieval</t>
        </is>
      </c>
      <c r="G114" s="10" t="n">
        <v>2020</v>
      </c>
      <c r="H114" s="10" t="inlineStr">
        <is>
          <t>Beginner</t>
        </is>
      </c>
      <c r="I114" s="10" t="inlineStr">
        <is>
          <t>Active in 2026</t>
        </is>
      </c>
    </row>
    <row r="115">
      <c r="A115" s="10" t="n">
        <v>2025</v>
      </c>
      <c r="B115" s="10" t="inlineStr">
        <is>
          <t>Blog</t>
        </is>
      </c>
      <c r="C115" s="10" t="inlineStr">
        <is>
          <t>OpenAI: Introducing deep research</t>
        </is>
      </c>
      <c r="D115" s="11" t="inlineStr">
        <is>
          <t>https://openai.com/index/introducing-deep-research/</t>
        </is>
      </c>
      <c r="E115" s="10" t="inlineStr">
        <is>
          <t>Agentic search and deep research</t>
        </is>
      </c>
      <c r="F115" s="10" t="inlineStr">
        <is>
          <t>05. Context, Memory and Retrieval</t>
        </is>
      </c>
      <c r="G115" s="10" t="n">
        <v>2025</v>
      </c>
      <c r="H115" s="10" t="inlineStr">
        <is>
          <t>Intermediate</t>
        </is>
      </c>
      <c r="I115" s="10" t="inlineStr">
        <is>
          <t>Active in 2026</t>
        </is>
      </c>
    </row>
    <row r="116">
      <c r="A116" s="10" t="n">
        <v>2023</v>
      </c>
      <c r="B116" s="10" t="inlineStr">
        <is>
          <t>GitHub</t>
        </is>
      </c>
      <c r="C116" s="10" t="inlineStr">
        <is>
          <t>GPT Researcher</t>
        </is>
      </c>
      <c r="D116" s="11" t="inlineStr">
        <is>
          <t>https://github.com/assafelovic/gpt-researcher</t>
        </is>
      </c>
      <c r="E116" s="10" t="inlineStr">
        <is>
          <t>Agentic search and deep research</t>
        </is>
      </c>
      <c r="F116" s="10" t="inlineStr">
        <is>
          <t>05. Context, Memory and Retrieval</t>
        </is>
      </c>
      <c r="G116" s="10" t="n">
        <v>2025</v>
      </c>
      <c r="H116" s="10" t="inlineStr">
        <is>
          <t>Intermediate</t>
        </is>
      </c>
      <c r="I116" s="10" t="inlineStr">
        <is>
          <t>Active in 2026</t>
        </is>
      </c>
    </row>
    <row r="117">
      <c r="A117" s="10" t="n">
        <v>2024</v>
      </c>
      <c r="B117" s="10" t="inlineStr">
        <is>
          <t>GitHub</t>
        </is>
      </c>
      <c r="C117" s="10" t="inlineStr">
        <is>
          <t>Microsoft GraphRAG</t>
        </is>
      </c>
      <c r="D117" s="11" t="inlineStr">
        <is>
          <t>https://github.com/microsoft/graphrag</t>
        </is>
      </c>
      <c r="E117" s="10" t="inlineStr">
        <is>
          <t>GraphRAG</t>
        </is>
      </c>
      <c r="F117" s="10" t="inlineStr">
        <is>
          <t>05. Context, Memory and Retrieval</t>
        </is>
      </c>
      <c r="G117" s="10" t="n">
        <v>2024</v>
      </c>
      <c r="H117" s="10" t="inlineStr">
        <is>
          <t>Intermediate</t>
        </is>
      </c>
      <c r="I117" s="10" t="inlineStr">
        <is>
          <t>Established</t>
        </is>
      </c>
    </row>
    <row r="118">
      <c r="A118" s="10" t="n">
        <v>2024</v>
      </c>
      <c r="B118" s="10" t="inlineStr">
        <is>
          <t>GitHub</t>
        </is>
      </c>
      <c r="C118" s="10" t="inlineStr">
        <is>
          <t>LightRAG</t>
        </is>
      </c>
      <c r="D118" s="11" t="inlineStr">
        <is>
          <t>https://github.com/HKUDS/LightRAG</t>
        </is>
      </c>
      <c r="E118" s="10" t="inlineStr">
        <is>
          <t>GraphRAG</t>
        </is>
      </c>
      <c r="F118" s="10" t="inlineStr">
        <is>
          <t>05. Context, Memory and Retrieval</t>
        </is>
      </c>
      <c r="G118" s="10" t="n">
        <v>2024</v>
      </c>
      <c r="H118" s="10" t="inlineStr">
        <is>
          <t>Intermediate</t>
        </is>
      </c>
      <c r="I118" s="10" t="inlineStr">
        <is>
          <t>Established</t>
        </is>
      </c>
    </row>
    <row r="119">
      <c r="A119" s="10" t="n">
        <v>2022</v>
      </c>
      <c r="B119" s="10" t="inlineStr">
        <is>
          <t>Docs</t>
        </is>
      </c>
      <c r="C119" s="10" t="inlineStr">
        <is>
          <t>MTEB leaderboard</t>
        </is>
      </c>
      <c r="D119" s="11" t="inlineStr">
        <is>
          <t>https://huggingface.co/spaces/mteb/leaderboard</t>
        </is>
      </c>
      <c r="E119" s="10" t="inlineStr">
        <is>
          <t>Embeddings, late interaction and Matryoshka</t>
        </is>
      </c>
      <c r="F119" s="10" t="inlineStr">
        <is>
          <t>05. Context, Memory and Retrieval</t>
        </is>
      </c>
      <c r="G119" s="10" t="n">
        <v>2020</v>
      </c>
      <c r="H119" s="10" t="inlineStr">
        <is>
          <t>Intermediate</t>
        </is>
      </c>
      <c r="I119" s="10" t="inlineStr">
        <is>
          <t>Established</t>
        </is>
      </c>
    </row>
    <row r="120">
      <c r="A120" s="10" t="n">
        <v>2020</v>
      </c>
      <c r="B120" s="10" t="inlineStr">
        <is>
          <t>GitHub</t>
        </is>
      </c>
      <c r="C120" s="10" t="inlineStr">
        <is>
          <t>ColBERT</t>
        </is>
      </c>
      <c r="D120" s="11" t="inlineStr">
        <is>
          <t>https://github.com/stanford-futuredata/ColBERT</t>
        </is>
      </c>
      <c r="E120" s="10" t="inlineStr">
        <is>
          <t>Embeddings, late interaction and Matryoshka</t>
        </is>
      </c>
      <c r="F120" s="10" t="inlineStr">
        <is>
          <t>05. Context, Memory and Retrieval</t>
        </is>
      </c>
      <c r="G120" s="10" t="n">
        <v>2020</v>
      </c>
      <c r="H120" s="10" t="inlineStr">
        <is>
          <t>Intermediate</t>
        </is>
      </c>
      <c r="I120" s="10" t="inlineStr">
        <is>
          <t>Established</t>
        </is>
      </c>
    </row>
    <row r="121">
      <c r="A121" s="10" t="n">
        <v>2022</v>
      </c>
      <c r="B121" s="10" t="inlineStr">
        <is>
          <t>Paper</t>
        </is>
      </c>
      <c r="C121" s="10" t="inlineStr">
        <is>
          <t>Matryoshka representation learning</t>
        </is>
      </c>
      <c r="D121" s="11" t="inlineStr">
        <is>
          <t>https://arxiv.org/abs/2205.13147</t>
        </is>
      </c>
      <c r="E121" s="10" t="inlineStr">
        <is>
          <t>Embeddings, late interaction and Matryoshka</t>
        </is>
      </c>
      <c r="F121" s="10" t="inlineStr">
        <is>
          <t>05. Context, Memory and Retrieval</t>
        </is>
      </c>
      <c r="G121" s="10" t="n">
        <v>2020</v>
      </c>
      <c r="H121" s="10" t="inlineStr">
        <is>
          <t>Intermediate</t>
        </is>
      </c>
      <c r="I121" s="10" t="inlineStr">
        <is>
          <t>Established</t>
        </is>
      </c>
    </row>
    <row r="122">
      <c r="A122" s="10" t="n">
        <v>2024</v>
      </c>
      <c r="B122" s="10" t="inlineStr">
        <is>
          <t>GitHub</t>
        </is>
      </c>
      <c r="C122" s="10" t="inlineStr">
        <is>
          <t>XGrammar</t>
        </is>
      </c>
      <c r="D122" s="11" t="inlineStr">
        <is>
          <t>https://github.com/mlc-ai/xgrammar</t>
        </is>
      </c>
      <c r="E122" s="10" t="inlineStr">
        <is>
          <t>Structured outputs and constrained decoding</t>
        </is>
      </c>
      <c r="F122" s="10" t="inlineStr">
        <is>
          <t>05. Context, Memory and Retrieval</t>
        </is>
      </c>
      <c r="G122" s="10" t="n">
        <v>2023</v>
      </c>
      <c r="H122" s="10" t="inlineStr">
        <is>
          <t>Intermediate</t>
        </is>
      </c>
      <c r="I122" s="10" t="inlineStr">
        <is>
          <t>Established</t>
        </is>
      </c>
    </row>
    <row r="123">
      <c r="A123" s="10" t="n">
        <v>2023</v>
      </c>
      <c r="B123" s="10" t="inlineStr">
        <is>
          <t>GitHub</t>
        </is>
      </c>
      <c r="C123" s="10" t="inlineStr">
        <is>
          <t>Outlines</t>
        </is>
      </c>
      <c r="D123" s="11" t="inlineStr">
        <is>
          <t>https://github.com/dottxt-ai/outlines</t>
        </is>
      </c>
      <c r="E123" s="10" t="inlineStr">
        <is>
          <t>Structured outputs and constrained decoding</t>
        </is>
      </c>
      <c r="F123" s="10" t="inlineStr">
        <is>
          <t>05. Context, Memory and Retrieval</t>
        </is>
      </c>
      <c r="G123" s="10" t="n">
        <v>2023</v>
      </c>
      <c r="H123" s="10" t="inlineStr">
        <is>
          <t>Intermediate</t>
        </is>
      </c>
      <c r="I123" s="10" t="inlineStr">
        <is>
          <t>Established</t>
        </is>
      </c>
    </row>
    <row r="124">
      <c r="A124" s="10" t="n">
        <v>2024</v>
      </c>
      <c r="B124" s="10" t="inlineStr">
        <is>
          <t>Docs</t>
        </is>
      </c>
      <c r="C124" s="10" t="inlineStr">
        <is>
          <t>OpenAI structured outputs</t>
        </is>
      </c>
      <c r="D124" s="11" t="inlineStr">
        <is>
          <t>https://platform.openai.com/docs/guides/structured-outputs</t>
        </is>
      </c>
      <c r="E124" s="10" t="inlineStr">
        <is>
          <t>Structured outputs and constrained decoding</t>
        </is>
      </c>
      <c r="F124" s="10" t="inlineStr">
        <is>
          <t>05. Context, Memory and Retrieval</t>
        </is>
      </c>
      <c r="G124" s="10" t="n">
        <v>2023</v>
      </c>
      <c r="H124" s="10" t="inlineStr">
        <is>
          <t>Intermediate</t>
        </is>
      </c>
      <c r="I124" s="10" t="inlineStr">
        <is>
          <t>Established</t>
        </is>
      </c>
    </row>
    <row r="125">
      <c r="A125" s="10" t="n">
        <v>2024</v>
      </c>
      <c r="B125" s="10" t="inlineStr">
        <is>
          <t>Blog</t>
        </is>
      </c>
      <c r="C125" s="10" t="inlineStr">
        <is>
          <t>OpenAI: Learning to reason with LLMs</t>
        </is>
      </c>
      <c r="D125" s="11" t="inlineStr">
        <is>
          <t>https://openai.com/index/learning-to-reason-with-llms/</t>
        </is>
      </c>
      <c r="E125" s="10" t="inlineStr">
        <is>
          <t>Reasoning models and test-time compute</t>
        </is>
      </c>
      <c r="F125" s="10" t="inlineStr">
        <is>
          <t>06. Reasoning and Post-Training</t>
        </is>
      </c>
      <c r="G125" s="10" t="n">
        <v>2024</v>
      </c>
      <c r="H125" s="10" t="inlineStr">
        <is>
          <t>Beginner</t>
        </is>
      </c>
      <c r="I125" s="10" t="inlineStr">
        <is>
          <t>Active in 2026</t>
        </is>
      </c>
    </row>
    <row r="126">
      <c r="A126" s="10" t="n">
        <v>2024</v>
      </c>
      <c r="B126" s="10" t="inlineStr">
        <is>
          <t>Paper</t>
        </is>
      </c>
      <c r="C126" s="10" t="inlineStr">
        <is>
          <t>Scaling test-time compute optimally</t>
        </is>
      </c>
      <c r="D126" s="11" t="inlineStr">
        <is>
          <t>https://arxiv.org/abs/2408.03314</t>
        </is>
      </c>
      <c r="E126" s="10" t="inlineStr">
        <is>
          <t>Reasoning models and test-time compute</t>
        </is>
      </c>
      <c r="F126" s="10" t="inlineStr">
        <is>
          <t>06. Reasoning and Post-Training</t>
        </is>
      </c>
      <c r="G126" s="10" t="n">
        <v>2024</v>
      </c>
      <c r="H126" s="10" t="inlineStr">
        <is>
          <t>Beginner</t>
        </is>
      </c>
      <c r="I126" s="10" t="inlineStr">
        <is>
          <t>Active in 2026</t>
        </is>
      </c>
    </row>
    <row r="127">
      <c r="A127" s="10" t="n">
        <v>2025</v>
      </c>
      <c r="B127" s="10" t="inlineStr">
        <is>
          <t>Paper</t>
        </is>
      </c>
      <c r="C127" s="10" t="inlineStr">
        <is>
          <t>DeepSeek-R1</t>
        </is>
      </c>
      <c r="D127" s="11" t="inlineStr">
        <is>
          <t>https://arxiv.org/abs/2501.12948</t>
        </is>
      </c>
      <c r="E127" s="10" t="inlineStr">
        <is>
          <t>Reasoning models and test-time compute</t>
        </is>
      </c>
      <c r="F127" s="10" t="inlineStr">
        <is>
          <t>06. Reasoning and Post-Training</t>
        </is>
      </c>
      <c r="G127" s="10" t="n">
        <v>2024</v>
      </c>
      <c r="H127" s="10" t="inlineStr">
        <is>
          <t>Beginner</t>
        </is>
      </c>
      <c r="I127" s="10" t="inlineStr">
        <is>
          <t>Active in 2026</t>
        </is>
      </c>
    </row>
    <row r="128">
      <c r="A128" s="10" t="n">
        <v>2025</v>
      </c>
      <c r="B128" s="10" t="inlineStr">
        <is>
          <t>Docs</t>
        </is>
      </c>
      <c r="C128" s="10" t="inlineStr">
        <is>
          <t>Claude extended thinking docs</t>
        </is>
      </c>
      <c r="D128" s="11" t="inlineStr">
        <is>
          <t>https://docs.claude.com/en/docs/build-with-claude/extended-thinking</t>
        </is>
      </c>
      <c r="E128" s="10" t="inlineStr">
        <is>
          <t>Thinking budgets, adaptive thinking and effort</t>
        </is>
      </c>
      <c r="F128" s="10" t="inlineStr">
        <is>
          <t>06. Reasoning and Post-Training</t>
        </is>
      </c>
      <c r="G128" s="10" t="n">
        <v>2025</v>
      </c>
      <c r="H128" s="10" t="inlineStr">
        <is>
          <t>Intermediate</t>
        </is>
      </c>
      <c r="I128" s="10" t="inlineStr">
        <is>
          <t>Active in 2026</t>
        </is>
      </c>
    </row>
    <row r="129">
      <c r="A129" s="10" t="n">
        <v>2025</v>
      </c>
      <c r="B129" s="10" t="inlineStr">
        <is>
          <t>Paper</t>
        </is>
      </c>
      <c r="C129" s="10" t="inlineStr">
        <is>
          <t>s1: simple test-time scaling</t>
        </is>
      </c>
      <c r="D129" s="11" t="inlineStr">
        <is>
          <t>https://arxiv.org/abs/2501.19393</t>
        </is>
      </c>
      <c r="E129" s="10" t="inlineStr">
        <is>
          <t>Thinking budgets, adaptive thinking and effort</t>
        </is>
      </c>
      <c r="F129" s="10" t="inlineStr">
        <is>
          <t>06. Reasoning and Post-Training</t>
        </is>
      </c>
      <c r="G129" s="10" t="n">
        <v>2025</v>
      </c>
      <c r="H129" s="10" t="inlineStr">
        <is>
          <t>Intermediate</t>
        </is>
      </c>
      <c r="I129" s="10" t="inlineStr">
        <is>
          <t>Active in 2026</t>
        </is>
      </c>
    </row>
    <row r="130">
      <c r="A130" s="10" t="n">
        <v>2024</v>
      </c>
      <c r="B130" s="10" t="inlineStr">
        <is>
          <t>Paper</t>
        </is>
      </c>
      <c r="C130" s="10" t="inlineStr">
        <is>
          <t>Tulu 3</t>
        </is>
      </c>
      <c r="D130" s="11" t="inlineStr">
        <is>
          <t>https://arxiv.org/abs/2411.15124</t>
        </is>
      </c>
      <c r="E130" s="10" t="inlineStr">
        <is>
          <t>RL with verifiable rewards</t>
        </is>
      </c>
      <c r="F130" s="10" t="inlineStr">
        <is>
          <t>06. Reasoning and Post-Training</t>
        </is>
      </c>
      <c r="G130" s="10" t="n">
        <v>2024</v>
      </c>
      <c r="H130" s="10" t="inlineStr">
        <is>
          <t>Intermediate</t>
        </is>
      </c>
      <c r="I130" s="10" t="inlineStr">
        <is>
          <t>Active in 2026</t>
        </is>
      </c>
    </row>
    <row r="131">
      <c r="A131" s="10" t="n">
        <v>2024</v>
      </c>
      <c r="B131" s="10" t="inlineStr">
        <is>
          <t>Docs</t>
        </is>
      </c>
      <c r="C131" s="10" t="inlineStr">
        <is>
          <t>RLHF Book (Nathan Lambert)</t>
        </is>
      </c>
      <c r="D131" s="11" t="inlineStr">
        <is>
          <t>https://rlhfbook.com</t>
        </is>
      </c>
      <c r="E131" s="10" t="inlineStr">
        <is>
          <t>RL with verifiable rewards</t>
        </is>
      </c>
      <c r="F131" s="10" t="inlineStr">
        <is>
          <t>06. Reasoning and Post-Training</t>
        </is>
      </c>
      <c r="G131" s="10" t="n">
        <v>2024</v>
      </c>
      <c r="H131" s="10" t="inlineStr">
        <is>
          <t>Intermediate</t>
        </is>
      </c>
      <c r="I131" s="10" t="inlineStr">
        <is>
          <t>Active in 2026</t>
        </is>
      </c>
    </row>
    <row r="132">
      <c r="A132" s="10" t="n">
        <v>2026</v>
      </c>
      <c r="B132" s="10" t="inlineStr">
        <is>
          <t>Docs</t>
        </is>
      </c>
      <c r="C132" s="10" t="inlineStr">
        <is>
          <t>RLHF Book course: Frontier post-training recipe survey</t>
        </is>
      </c>
      <c r="D132" s="11" t="inlineStr">
        <is>
          <t>https://rlhfbook.com/teach/course/conversation-01/</t>
        </is>
      </c>
      <c r="E132" s="10" t="inlineStr">
        <is>
          <t>Multi-teacher on-policy distillation</t>
        </is>
      </c>
      <c r="F132" s="10" t="inlineStr">
        <is>
          <t>06. Reasoning and Post-Training</t>
        </is>
      </c>
      <c r="G132" s="10" t="n">
        <v>2026</v>
      </c>
      <c r="H132" s="10" t="inlineStr">
        <is>
          <t>Advanced</t>
        </is>
      </c>
      <c r="I132" s="10" t="inlineStr">
        <is>
          <t>New in 2026</t>
        </is>
      </c>
    </row>
    <row r="133">
      <c r="A133" s="10" t="n">
        <v>2026</v>
      </c>
      <c r="B133" s="10" t="inlineStr">
        <is>
          <t>Blog</t>
        </is>
      </c>
      <c r="C133" s="10" t="inlineStr">
        <is>
          <t>Hugging Face: Distillation in 2026</t>
        </is>
      </c>
      <c r="D133" s="11" t="inlineStr">
        <is>
          <t>https://huggingface.co/blog/sergiopaniego/distillation-2026</t>
        </is>
      </c>
      <c r="E133" s="10" t="inlineStr">
        <is>
          <t>Multi-teacher on-policy distillation</t>
        </is>
      </c>
      <c r="F133" s="10" t="inlineStr">
        <is>
          <t>06. Reasoning and Post-Training</t>
        </is>
      </c>
      <c r="G133" s="10" t="n">
        <v>2026</v>
      </c>
      <c r="H133" s="10" t="inlineStr">
        <is>
          <t>Advanced</t>
        </is>
      </c>
      <c r="I133" s="10" t="inlineStr">
        <is>
          <t>New in 2026</t>
        </is>
      </c>
    </row>
    <row r="134">
      <c r="A134" s="10" t="n">
        <v>2025</v>
      </c>
      <c r="B134" s="10" t="inlineStr">
        <is>
          <t>Blog</t>
        </is>
      </c>
      <c r="C134" s="10" t="inlineStr">
        <is>
          <t>Thinking Machines: On-policy distillation</t>
        </is>
      </c>
      <c r="D134" s="11" t="inlineStr">
        <is>
          <t>https://thinkingmachines.ai/blog/on-policy-distillation/</t>
        </is>
      </c>
      <c r="E134" s="10" t="inlineStr">
        <is>
          <t>Multi-teacher on-policy distillation</t>
        </is>
      </c>
      <c r="F134" s="10" t="inlineStr">
        <is>
          <t>06. Reasoning and Post-Training</t>
        </is>
      </c>
      <c r="G134" s="10" t="n">
        <v>2026</v>
      </c>
      <c r="H134" s="10" t="inlineStr">
        <is>
          <t>Advanced</t>
        </is>
      </c>
      <c r="I134" s="10" t="inlineStr">
        <is>
          <t>New in 2026</t>
        </is>
      </c>
    </row>
    <row r="135">
      <c r="A135" s="10" t="n">
        <v>2024</v>
      </c>
      <c r="B135" s="10" t="inlineStr">
        <is>
          <t>Paper</t>
        </is>
      </c>
      <c r="C135" s="10" t="inlineStr">
        <is>
          <t>DeepSeekMath (GRPO)</t>
        </is>
      </c>
      <c r="D135" s="11" t="inlineStr">
        <is>
          <t>https://arxiv.org/abs/2402.03300</t>
        </is>
      </c>
      <c r="E135" s="10" t="inlineStr">
        <is>
          <t>GRPO and its successors</t>
        </is>
      </c>
      <c r="F135" s="10" t="inlineStr">
        <is>
          <t>06. Reasoning and Post-Training</t>
        </is>
      </c>
      <c r="G135" s="10" t="n">
        <v>2024</v>
      </c>
      <c r="H135" s="10" t="inlineStr">
        <is>
          <t>Advanced</t>
        </is>
      </c>
      <c r="I135" s="10" t="inlineStr">
        <is>
          <t>Established</t>
        </is>
      </c>
    </row>
    <row r="136">
      <c r="A136" s="10" t="n">
        <v>2025</v>
      </c>
      <c r="B136" s="10" t="inlineStr">
        <is>
          <t>Paper</t>
        </is>
      </c>
      <c r="C136" s="10" t="inlineStr">
        <is>
          <t>DAPO</t>
        </is>
      </c>
      <c r="D136" s="11" t="inlineStr">
        <is>
          <t>https://arxiv.org/abs/2503.14476</t>
        </is>
      </c>
      <c r="E136" s="10" t="inlineStr">
        <is>
          <t>GRPO and its successors</t>
        </is>
      </c>
      <c r="F136" s="10" t="inlineStr">
        <is>
          <t>06. Reasoning and Post-Training</t>
        </is>
      </c>
      <c r="G136" s="10" t="n">
        <v>2024</v>
      </c>
      <c r="H136" s="10" t="inlineStr">
        <is>
          <t>Advanced</t>
        </is>
      </c>
      <c r="I136" s="10" t="inlineStr">
        <is>
          <t>Established</t>
        </is>
      </c>
    </row>
    <row r="137">
      <c r="A137" s="10" t="n">
        <v>2025</v>
      </c>
      <c r="B137" s="10" t="inlineStr">
        <is>
          <t>Paper</t>
        </is>
      </c>
      <c r="C137" s="10" t="inlineStr">
        <is>
          <t>GSPO</t>
        </is>
      </c>
      <c r="D137" s="11" t="inlineStr">
        <is>
          <t>https://arxiv.org/abs/2507.18071</t>
        </is>
      </c>
      <c r="E137" s="10" t="inlineStr">
        <is>
          <t>GRPO and its successors</t>
        </is>
      </c>
      <c r="F137" s="10" t="inlineStr">
        <is>
          <t>06. Reasoning and Post-Training</t>
        </is>
      </c>
      <c r="G137" s="10" t="n">
        <v>2024</v>
      </c>
      <c r="H137" s="10" t="inlineStr">
        <is>
          <t>Advanced</t>
        </is>
      </c>
      <c r="I137" s="10" t="inlineStr">
        <is>
          <t>Established</t>
        </is>
      </c>
    </row>
    <row r="138">
      <c r="A138" s="10" t="n">
        <v>2025</v>
      </c>
      <c r="B138" s="10" t="inlineStr">
        <is>
          <t>Paper</t>
        </is>
      </c>
      <c r="C138" s="10" t="inlineStr">
        <is>
          <t>Dr. GRPO</t>
        </is>
      </c>
      <c r="D138" s="11" t="inlineStr">
        <is>
          <t>https://arxiv.org/abs/2503.20783</t>
        </is>
      </c>
      <c r="E138" s="10" t="inlineStr">
        <is>
          <t>GRPO and its successors</t>
        </is>
      </c>
      <c r="F138" s="10" t="inlineStr">
        <is>
          <t>06. Reasoning and Post-Training</t>
        </is>
      </c>
      <c r="G138" s="10" t="n">
        <v>2024</v>
      </c>
      <c r="H138" s="10" t="inlineStr">
        <is>
          <t>Advanced</t>
        </is>
      </c>
      <c r="I138" s="10" t="inlineStr">
        <is>
          <t>Established</t>
        </is>
      </c>
    </row>
    <row r="139">
      <c r="A139" s="10" t="n">
        <v>2025</v>
      </c>
      <c r="B139" s="10" t="inlineStr">
        <is>
          <t>GitHub</t>
        </is>
      </c>
      <c r="C139" s="10" t="inlineStr">
        <is>
          <t>Prime Intellect verifiers</t>
        </is>
      </c>
      <c r="D139" s="11" t="inlineStr">
        <is>
          <t>https://github.com/PrimeIntellect-ai/verifiers</t>
        </is>
      </c>
      <c r="E139" s="10" t="inlineStr">
        <is>
          <t>RL environments and verifiers</t>
        </is>
      </c>
      <c r="F139" s="10" t="inlineStr">
        <is>
          <t>06. Reasoning and Post-Training</t>
        </is>
      </c>
      <c r="G139" s="10" t="n">
        <v>2025</v>
      </c>
      <c r="H139" s="10" t="inlineStr">
        <is>
          <t>Advanced</t>
        </is>
      </c>
      <c r="I139" s="10" t="inlineStr">
        <is>
          <t>Active in 2026</t>
        </is>
      </c>
    </row>
    <row r="140">
      <c r="A140" s="10" t="n">
        <v>2025</v>
      </c>
      <c r="B140" s="10" t="inlineStr">
        <is>
          <t>GitHub</t>
        </is>
      </c>
      <c r="C140" s="10" t="inlineStr">
        <is>
          <t>OpenEnv</t>
        </is>
      </c>
      <c r="D140" s="11" t="inlineStr">
        <is>
          <t>https://github.com/meta-pytorch/OpenEnv</t>
        </is>
      </c>
      <c r="E140" s="10" t="inlineStr">
        <is>
          <t>RL environments and verifiers</t>
        </is>
      </c>
      <c r="F140" s="10" t="inlineStr">
        <is>
          <t>06. Reasoning and Post-Training</t>
        </is>
      </c>
      <c r="G140" s="10" t="n">
        <v>2025</v>
      </c>
      <c r="H140" s="10" t="inlineStr">
        <is>
          <t>Advanced</t>
        </is>
      </c>
      <c r="I140" s="10" t="inlineStr">
        <is>
          <t>Active in 2026</t>
        </is>
      </c>
    </row>
    <row r="141">
      <c r="A141" s="10" t="n">
        <v>2024</v>
      </c>
      <c r="B141" s="10" t="inlineStr">
        <is>
          <t>GitHub</t>
        </is>
      </c>
      <c r="C141" s="10" t="inlineStr">
        <is>
          <t>verl</t>
        </is>
      </c>
      <c r="D141" s="11" t="inlineStr">
        <is>
          <t>https://github.com/volcengine/verl</t>
        </is>
      </c>
      <c r="E141" s="10" t="inlineStr">
        <is>
          <t>RL environments and verifiers</t>
        </is>
      </c>
      <c r="F141" s="10" t="inlineStr">
        <is>
          <t>06. Reasoning and Post-Training</t>
        </is>
      </c>
      <c r="G141" s="10" t="n">
        <v>2025</v>
      </c>
      <c r="H141" s="10" t="inlineStr">
        <is>
          <t>Advanced</t>
        </is>
      </c>
      <c r="I141" s="10" t="inlineStr">
        <is>
          <t>Active in 2026</t>
        </is>
      </c>
    </row>
    <row r="142">
      <c r="A142" s="10" t="n">
        <v>2025</v>
      </c>
      <c r="B142" s="10" t="inlineStr">
        <is>
          <t>GitHub</t>
        </is>
      </c>
      <c r="C142" s="10" t="inlineStr">
        <is>
          <t>SkyRL</t>
        </is>
      </c>
      <c r="D142" s="11" t="inlineStr">
        <is>
          <t>https://github.com/NovaSky-AI/SkyRL</t>
        </is>
      </c>
      <c r="E142" s="10" t="inlineStr">
        <is>
          <t>RL environments and verifiers</t>
        </is>
      </c>
      <c r="F142" s="10" t="inlineStr">
        <is>
          <t>06. Reasoning and Post-Training</t>
        </is>
      </c>
      <c r="G142" s="10" t="n">
        <v>2025</v>
      </c>
      <c r="H142" s="10" t="inlineStr">
        <is>
          <t>Advanced</t>
        </is>
      </c>
      <c r="I142" s="10" t="inlineStr">
        <is>
          <t>Active in 2026</t>
        </is>
      </c>
    </row>
    <row r="143">
      <c r="A143" s="10" t="n">
        <v>2026</v>
      </c>
      <c r="B143" s="10" t="inlineStr">
        <is>
          <t>Blog</t>
        </is>
      </c>
      <c r="C143" s="10" t="inlineStr">
        <is>
          <t>Prolific: RL environments for agentic AI (2026 guide)</t>
        </is>
      </c>
      <c r="D143" s="11" t="inlineStr">
        <is>
          <t>https://www.prolific.com/resources/rl-environments-for-agentic-ai-the-2026-guide-to-building-and-deploying-enterprise-rl-environments</t>
        </is>
      </c>
      <c r="E143" s="10" t="inlineStr">
        <is>
          <t>RL environments and verifiers</t>
        </is>
      </c>
      <c r="F143" s="10" t="inlineStr">
        <is>
          <t>06. Reasoning and Post-Training</t>
        </is>
      </c>
      <c r="G143" s="10" t="n">
        <v>2025</v>
      </c>
      <c r="H143" s="10" t="inlineStr">
        <is>
          <t>Advanced</t>
        </is>
      </c>
      <c r="I143" s="10" t="inlineStr">
        <is>
          <t>Active in 2026</t>
        </is>
      </c>
    </row>
    <row r="144">
      <c r="A144" s="10" t="n">
        <v>2022</v>
      </c>
      <c r="B144" s="10" t="inlineStr">
        <is>
          <t>Paper</t>
        </is>
      </c>
      <c r="C144" s="10" t="inlineStr">
        <is>
          <t>InstructGPT</t>
        </is>
      </c>
      <c r="D144" s="11" t="inlineStr">
        <is>
          <t>https://arxiv.org/abs/2203.02155</t>
        </is>
      </c>
      <c r="E144" s="10" t="inlineStr">
        <is>
          <t>RLHF, DPO and preference optimization</t>
        </is>
      </c>
      <c r="F144" s="10" t="inlineStr">
        <is>
          <t>06. Reasoning and Post-Training</t>
        </is>
      </c>
      <c r="G144" s="10" t="n">
        <v>2022</v>
      </c>
      <c r="H144" s="10" t="inlineStr">
        <is>
          <t>Intermediate</t>
        </is>
      </c>
      <c r="I144" s="10" t="inlineStr">
        <is>
          <t>Established</t>
        </is>
      </c>
    </row>
    <row r="145">
      <c r="A145" s="10" t="n">
        <v>2023</v>
      </c>
      <c r="B145" s="10" t="inlineStr">
        <is>
          <t>Paper</t>
        </is>
      </c>
      <c r="C145" s="10" t="inlineStr">
        <is>
          <t>DPO</t>
        </is>
      </c>
      <c r="D145" s="11" t="inlineStr">
        <is>
          <t>https://arxiv.org/abs/2305.18290</t>
        </is>
      </c>
      <c r="E145" s="10" t="inlineStr">
        <is>
          <t>RLHF, DPO and preference optimization</t>
        </is>
      </c>
      <c r="F145" s="10" t="inlineStr">
        <is>
          <t>06. Reasoning and Post-Training</t>
        </is>
      </c>
      <c r="G145" s="10" t="n">
        <v>2022</v>
      </c>
      <c r="H145" s="10" t="inlineStr">
        <is>
          <t>Intermediate</t>
        </is>
      </c>
      <c r="I145" s="10" t="inlineStr">
        <is>
          <t>Established</t>
        </is>
      </c>
    </row>
    <row r="146">
      <c r="A146" s="10" t="n">
        <v>2020</v>
      </c>
      <c r="B146" s="10" t="inlineStr">
        <is>
          <t>GitHub</t>
        </is>
      </c>
      <c r="C146" s="10" t="inlineStr">
        <is>
          <t>Hugging Face TRL</t>
        </is>
      </c>
      <c r="D146" s="11" t="inlineStr">
        <is>
          <t>https://github.com/huggingface/trl</t>
        </is>
      </c>
      <c r="E146" s="10" t="inlineStr">
        <is>
          <t>RLHF, DPO and preference optimization</t>
        </is>
      </c>
      <c r="F146" s="10" t="inlineStr">
        <is>
          <t>06. Reasoning and Post-Training</t>
        </is>
      </c>
      <c r="G146" s="10" t="n">
        <v>2022</v>
      </c>
      <c r="H146" s="10" t="inlineStr">
        <is>
          <t>Intermediate</t>
        </is>
      </c>
      <c r="I146" s="10" t="inlineStr">
        <is>
          <t>Established</t>
        </is>
      </c>
    </row>
    <row r="147">
      <c r="A147" s="10" t="n">
        <v>2022</v>
      </c>
      <c r="B147" s="10" t="inlineStr">
        <is>
          <t>Paper</t>
        </is>
      </c>
      <c r="C147" s="10" t="inlineStr">
        <is>
          <t>Constitutional AI</t>
        </is>
      </c>
      <c r="D147" s="11" t="inlineStr">
        <is>
          <t>https://arxiv.org/abs/2212.08073</t>
        </is>
      </c>
      <c r="E147" s="10" t="inlineStr">
        <is>
          <t>Constitutional AI and model specs</t>
        </is>
      </c>
      <c r="F147" s="10" t="inlineStr">
        <is>
          <t>06. Reasoning and Post-Training</t>
        </is>
      </c>
      <c r="G147" s="10" t="n">
        <v>2022</v>
      </c>
      <c r="H147" s="10" t="inlineStr">
        <is>
          <t>Intermediate</t>
        </is>
      </c>
      <c r="I147" s="10" t="inlineStr">
        <is>
          <t>Active in 2026</t>
        </is>
      </c>
    </row>
    <row r="148">
      <c r="A148" s="10" t="n">
        <v>2026</v>
      </c>
      <c r="B148" s="10" t="inlineStr">
        <is>
          <t>Docs</t>
        </is>
      </c>
      <c r="C148" s="10" t="inlineStr">
        <is>
          <t>Claude's constitution</t>
        </is>
      </c>
      <c r="D148" s="11" t="inlineStr">
        <is>
          <t>https://www.anthropic.com/constitution</t>
        </is>
      </c>
      <c r="E148" s="10" t="inlineStr">
        <is>
          <t>Constitutional AI and model specs</t>
        </is>
      </c>
      <c r="F148" s="10" t="inlineStr">
        <is>
          <t>06. Reasoning and Post-Training</t>
        </is>
      </c>
      <c r="G148" s="10" t="n">
        <v>2022</v>
      </c>
      <c r="H148" s="10" t="inlineStr">
        <is>
          <t>Intermediate</t>
        </is>
      </c>
      <c r="I148" s="10" t="inlineStr">
        <is>
          <t>Active in 2026</t>
        </is>
      </c>
    </row>
    <row r="149">
      <c r="A149" s="10" t="n">
        <v>2023</v>
      </c>
      <c r="B149" s="10" t="inlineStr">
        <is>
          <t>Paper</t>
        </is>
      </c>
      <c r="C149" s="10" t="inlineStr">
        <is>
          <t>Let's verify step by step</t>
        </is>
      </c>
      <c r="D149" s="11" t="inlineStr">
        <is>
          <t>https://arxiv.org/abs/2305.20050</t>
        </is>
      </c>
      <c r="E149" s="10" t="inlineStr">
        <is>
          <t>Process reward models</t>
        </is>
      </c>
      <c r="F149" s="10" t="inlineStr">
        <is>
          <t>06. Reasoning and Post-Training</t>
        </is>
      </c>
      <c r="G149" s="10" t="n">
        <v>2023</v>
      </c>
      <c r="H149" s="10" t="inlineStr">
        <is>
          <t>Advanced</t>
        </is>
      </c>
      <c r="I149" s="10" t="inlineStr">
        <is>
          <t>Established</t>
        </is>
      </c>
    </row>
    <row r="150">
      <c r="A150" s="10" t="n">
        <v>2024</v>
      </c>
      <c r="B150" s="10" t="inlineStr">
        <is>
          <t>Blog</t>
        </is>
      </c>
      <c r="C150" s="10" t="inlineStr">
        <is>
          <t>Lilian Weng: Reward hacking</t>
        </is>
      </c>
      <c r="D150" s="11" t="inlineStr">
        <is>
          <t>https://lilianweng.github.io/posts/2024-11-28-reward-hacking/</t>
        </is>
      </c>
      <c r="E150" s="10" t="inlineStr">
        <is>
          <t>Reward hacking</t>
        </is>
      </c>
      <c r="F150" s="10" t="inlineStr">
        <is>
          <t>06. Reasoning and Post-Training</t>
        </is>
      </c>
      <c r="G150" s="10" t="n">
        <v>2016</v>
      </c>
      <c r="H150" s="10" t="inlineStr">
        <is>
          <t>Intermediate</t>
        </is>
      </c>
      <c r="I150" s="10" t="inlineStr">
        <is>
          <t>Active in 2026</t>
        </is>
      </c>
    </row>
    <row r="151">
      <c r="A151" s="10" t="n">
        <v>2025</v>
      </c>
      <c r="B151" s="10" t="inlineStr">
        <is>
          <t>Blog</t>
        </is>
      </c>
      <c r="C151" s="10" t="inlineStr">
        <is>
          <t>Anthropic: Emergent misalignment from reward hacking</t>
        </is>
      </c>
      <c r="D151" s="11" t="inlineStr">
        <is>
          <t>https://www.anthropic.com/research/emergent-misalignment-reward-hacking</t>
        </is>
      </c>
      <c r="E151" s="10" t="inlineStr">
        <is>
          <t>Reward hacking</t>
        </is>
      </c>
      <c r="F151" s="10" t="inlineStr">
        <is>
          <t>06. Reasoning and Post-Training</t>
        </is>
      </c>
      <c r="G151" s="10" t="n">
        <v>2016</v>
      </c>
      <c r="H151" s="10" t="inlineStr">
        <is>
          <t>Intermediate</t>
        </is>
      </c>
      <c r="I151" s="10" t="inlineStr">
        <is>
          <t>Active in 2026</t>
        </is>
      </c>
    </row>
    <row r="152">
      <c r="A152" s="10" t="n">
        <v>2025</v>
      </c>
      <c r="B152" s="10" t="inlineStr">
        <is>
          <t>Paper</t>
        </is>
      </c>
      <c r="C152" s="10" t="inlineStr">
        <is>
          <t>Absolute Zero</t>
        </is>
      </c>
      <c r="D152" s="11" t="inlineStr">
        <is>
          <t>https://arxiv.org/abs/2505.03335</t>
        </is>
      </c>
      <c r="E152" s="10" t="inlineStr">
        <is>
          <t>Self-play and self-generated curricula</t>
        </is>
      </c>
      <c r="F152" s="10" t="inlineStr">
        <is>
          <t>06. Reasoning and Post-Training</t>
        </is>
      </c>
      <c r="G152" s="10" t="n">
        <v>2025</v>
      </c>
      <c r="H152" s="10" t="inlineStr">
        <is>
          <t>Advanced</t>
        </is>
      </c>
      <c r="I152" s="10" t="inlineStr">
        <is>
          <t>Established</t>
        </is>
      </c>
    </row>
    <row r="153">
      <c r="A153" s="10" t="n">
        <v>2026</v>
      </c>
      <c r="B153" s="10" t="inlineStr">
        <is>
          <t>Paper</t>
        </is>
      </c>
      <c r="C153" s="10" t="inlineStr">
        <is>
          <t>Survey: Continual learning in LLMs (2026)</t>
        </is>
      </c>
      <c r="D153" s="11" t="inlineStr">
        <is>
          <t>https://arxiv.org/abs/2603.12658</t>
        </is>
      </c>
      <c r="E153" s="10" t="inlineStr">
        <is>
          <t>Continual learning</t>
        </is>
      </c>
      <c r="F153" s="10" t="inlineStr">
        <is>
          <t>06. Reasoning and Post-Training</t>
        </is>
      </c>
      <c r="G153" s="10" t="n">
        <v>2024</v>
      </c>
      <c r="H153" s="10" t="inlineStr">
        <is>
          <t>Advanced</t>
        </is>
      </c>
      <c r="I153" s="10" t="inlineStr">
        <is>
          <t>Active in 2026</t>
        </is>
      </c>
    </row>
    <row r="154">
      <c r="A154" s="10" t="n">
        <v>2025</v>
      </c>
      <c r="B154" s="10" t="inlineStr">
        <is>
          <t>Blog</t>
        </is>
      </c>
      <c r="C154" s="10" t="inlineStr">
        <is>
          <t>Google Research: Nested learning</t>
        </is>
      </c>
      <c r="D154" s="11" t="inlineStr">
        <is>
          <t>https://research.google/blog/introducing-nested-learning-a-new-ml-paradigm-for-continual-learning/</t>
        </is>
      </c>
      <c r="E154" s="10" t="inlineStr">
        <is>
          <t>Continual learning</t>
        </is>
      </c>
      <c r="F154" s="10" t="inlineStr">
        <is>
          <t>06. Reasoning and Post-Training</t>
        </is>
      </c>
      <c r="G154" s="10" t="n">
        <v>2024</v>
      </c>
      <c r="H154" s="10" t="inlineStr">
        <is>
          <t>Advanced</t>
        </is>
      </c>
      <c r="I154" s="10" t="inlineStr">
        <is>
          <t>Active in 2026</t>
        </is>
      </c>
    </row>
    <row r="155">
      <c r="A155" s="10" t="n">
        <v>2023</v>
      </c>
      <c r="B155" s="10" t="inlineStr">
        <is>
          <t>Blog</t>
        </is>
      </c>
      <c r="C155" s="10" t="inlineStr">
        <is>
          <t>Hugging Face: MoE explained</t>
        </is>
      </c>
      <c r="D155" s="11" t="inlineStr">
        <is>
          <t>https://huggingface.co/blog/moe</t>
        </is>
      </c>
      <c r="E155" s="10" t="inlineStr">
        <is>
          <t>Mixture of Experts</t>
        </is>
      </c>
      <c r="F155" s="10" t="inlineStr">
        <is>
          <t>07. Model Architectures</t>
        </is>
      </c>
      <c r="G155" s="10" t="n">
        <v>2017</v>
      </c>
      <c r="H155" s="10" t="inlineStr">
        <is>
          <t>Beginner</t>
        </is>
      </c>
      <c r="I155" s="10" t="inlineStr">
        <is>
          <t>Active in 2026</t>
        </is>
      </c>
    </row>
    <row r="156">
      <c r="A156" s="10" t="n">
        <v>2024</v>
      </c>
      <c r="B156" s="10" t="inlineStr">
        <is>
          <t>Paper</t>
        </is>
      </c>
      <c r="C156" s="10" t="inlineStr">
        <is>
          <t>DeepSeek-V3</t>
        </is>
      </c>
      <c r="D156" s="11" t="inlineStr">
        <is>
          <t>https://arxiv.org/abs/2412.19437</t>
        </is>
      </c>
      <c r="E156" s="10" t="inlineStr">
        <is>
          <t>Mixture of Experts</t>
        </is>
      </c>
      <c r="F156" s="10" t="inlineStr">
        <is>
          <t>07. Model Architectures</t>
        </is>
      </c>
      <c r="G156" s="10" t="n">
        <v>2017</v>
      </c>
      <c r="H156" s="10" t="inlineStr">
        <is>
          <t>Beginner</t>
        </is>
      </c>
      <c r="I156" s="10" t="inlineStr">
        <is>
          <t>Active in 2026</t>
        </is>
      </c>
    </row>
    <row r="157">
      <c r="A157" s="10" t="n">
        <v>2025</v>
      </c>
      <c r="B157" s="10" t="inlineStr">
        <is>
          <t>GitHub</t>
        </is>
      </c>
      <c r="C157" s="10" t="inlineStr">
        <is>
          <t>DeepEP</t>
        </is>
      </c>
      <c r="D157" s="11" t="inlineStr">
        <is>
          <t>https://github.com/deepseek-ai/DeepEP</t>
        </is>
      </c>
      <c r="E157" s="10" t="inlineStr">
        <is>
          <t>Mixture of Experts</t>
        </is>
      </c>
      <c r="F157" s="10" t="inlineStr">
        <is>
          <t>07. Model Architectures</t>
        </is>
      </c>
      <c r="G157" s="10" t="n">
        <v>2017</v>
      </c>
      <c r="H157" s="10" t="inlineStr">
        <is>
          <t>Beginner</t>
        </is>
      </c>
      <c r="I157" s="10" t="inlineStr">
        <is>
          <t>Active in 2026</t>
        </is>
      </c>
    </row>
    <row r="158">
      <c r="A158" s="10" t="n">
        <v>2023</v>
      </c>
      <c r="B158" s="10" t="inlineStr">
        <is>
          <t>Paper</t>
        </is>
      </c>
      <c r="C158" s="10" t="inlineStr">
        <is>
          <t>GQA</t>
        </is>
      </c>
      <c r="D158" s="11" t="inlineStr">
        <is>
          <t>https://arxiv.org/abs/2305.13245</t>
        </is>
      </c>
      <c r="E158" s="10" t="inlineStr">
        <is>
          <t>GQA and Multi-head Latent Attention</t>
        </is>
      </c>
      <c r="F158" s="10" t="inlineStr">
        <is>
          <t>07. Model Architectures</t>
        </is>
      </c>
      <c r="G158" s="10" t="n">
        <v>2023</v>
      </c>
      <c r="H158" s="10" t="inlineStr">
        <is>
          <t>Intermediate</t>
        </is>
      </c>
      <c r="I158" s="10" t="inlineStr">
        <is>
          <t>Established</t>
        </is>
      </c>
    </row>
    <row r="159">
      <c r="A159" s="10" t="n">
        <v>2024</v>
      </c>
      <c r="B159" s="10" t="inlineStr">
        <is>
          <t>Paper</t>
        </is>
      </c>
      <c r="C159" s="10" t="inlineStr">
        <is>
          <t>DeepSeek-V2 (MLA)</t>
        </is>
      </c>
      <c r="D159" s="11" t="inlineStr">
        <is>
          <t>https://arxiv.org/abs/2405.04434</t>
        </is>
      </c>
      <c r="E159" s="10" t="inlineStr">
        <is>
          <t>GQA and Multi-head Latent Attention</t>
        </is>
      </c>
      <c r="F159" s="10" t="inlineStr">
        <is>
          <t>07. Model Architectures</t>
        </is>
      </c>
      <c r="G159" s="10" t="n">
        <v>2023</v>
      </c>
      <c r="H159" s="10" t="inlineStr">
        <is>
          <t>Intermediate</t>
        </is>
      </c>
      <c r="I159" s="10" t="inlineStr">
        <is>
          <t>Established</t>
        </is>
      </c>
    </row>
    <row r="160">
      <c r="A160" s="10" t="n">
        <v>2025</v>
      </c>
      <c r="B160" s="10" t="inlineStr">
        <is>
          <t>Paper</t>
        </is>
      </c>
      <c r="C160" s="10" t="inlineStr">
        <is>
          <t>Native Sparse Attention</t>
        </is>
      </c>
      <c r="D160" s="11" t="inlineStr">
        <is>
          <t>https://arxiv.org/abs/2502.11089</t>
        </is>
      </c>
      <c r="E160" s="10" t="inlineStr">
        <is>
          <t>Sparse and compressed attention</t>
        </is>
      </c>
      <c r="F160" s="10" t="inlineStr">
        <is>
          <t>07. Model Architectures</t>
        </is>
      </c>
      <c r="G160" s="10" t="n">
        <v>2025</v>
      </c>
      <c r="H160" s="10" t="inlineStr">
        <is>
          <t>Advanced</t>
        </is>
      </c>
      <c r="I160" s="10" t="inlineStr">
        <is>
          <t>Active in 2026</t>
        </is>
      </c>
    </row>
    <row r="161">
      <c r="A161" s="10" t="n">
        <v>2025</v>
      </c>
      <c r="B161" s="10" t="inlineStr">
        <is>
          <t>GitHub</t>
        </is>
      </c>
      <c r="C161" s="10" t="inlineStr">
        <is>
          <t>DeepSeek-V3.2-Exp (DSA)</t>
        </is>
      </c>
      <c r="D161" s="11" t="inlineStr">
        <is>
          <t>https://github.com/deepseek-ai/DeepSeek-V3.2-Exp</t>
        </is>
      </c>
      <c r="E161" s="10" t="inlineStr">
        <is>
          <t>Sparse and compressed attention</t>
        </is>
      </c>
      <c r="F161" s="10" t="inlineStr">
        <is>
          <t>07. Model Architectures</t>
        </is>
      </c>
      <c r="G161" s="10" t="n">
        <v>2025</v>
      </c>
      <c r="H161" s="10" t="inlineStr">
        <is>
          <t>Advanced</t>
        </is>
      </c>
      <c r="I161" s="10" t="inlineStr">
        <is>
          <t>Active in 2026</t>
        </is>
      </c>
    </row>
    <row r="162">
      <c r="A162" s="10" t="n">
        <v>2026</v>
      </c>
      <c r="B162" s="10" t="inlineStr">
        <is>
          <t>Paper</t>
        </is>
      </c>
      <c r="C162" s="10" t="inlineStr">
        <is>
          <t>DeepSeek-V4 report</t>
        </is>
      </c>
      <c r="D162" s="11" t="inlineStr">
        <is>
          <t>https://arxiv.org/abs/2606.19348</t>
        </is>
      </c>
      <c r="E162" s="10" t="inlineStr">
        <is>
          <t>Sparse and compressed attention</t>
        </is>
      </c>
      <c r="F162" s="10" t="inlineStr">
        <is>
          <t>07. Model Architectures</t>
        </is>
      </c>
      <c r="G162" s="10" t="n">
        <v>2025</v>
      </c>
      <c r="H162" s="10" t="inlineStr">
        <is>
          <t>Advanced</t>
        </is>
      </c>
      <c r="I162" s="10" t="inlineStr">
        <is>
          <t>Active in 2026</t>
        </is>
      </c>
    </row>
    <row r="163">
      <c r="A163" s="10" t="n">
        <v>2026</v>
      </c>
      <c r="B163" s="10" t="inlineStr">
        <is>
          <t>Paper</t>
        </is>
      </c>
      <c r="C163" s="10" t="inlineStr">
        <is>
          <t>DeepSeek-V4 report</t>
        </is>
      </c>
      <c r="D163" s="11" t="inlineStr">
        <is>
          <t>https://arxiv.org/abs/2606.19348</t>
        </is>
      </c>
      <c r="E163" s="10" t="inlineStr">
        <is>
          <t>Manifold-constrained hyper-connections</t>
        </is>
      </c>
      <c r="F163" s="10" t="inlineStr">
        <is>
          <t>07. Model Architectures</t>
        </is>
      </c>
      <c r="G163" s="10" t="n">
        <v>2026</v>
      </c>
      <c r="H163" s="10" t="inlineStr">
        <is>
          <t>Advanced</t>
        </is>
      </c>
      <c r="I163" s="10" t="inlineStr">
        <is>
          <t>New in 2026</t>
        </is>
      </c>
    </row>
    <row r="164">
      <c r="A164" s="10" t="n">
        <v>2023</v>
      </c>
      <c r="B164" s="10" t="inlineStr">
        <is>
          <t>GitHub</t>
        </is>
      </c>
      <c r="C164" s="10" t="inlineStr">
        <is>
          <t>Mamba</t>
        </is>
      </c>
      <c r="D164" s="11" t="inlineStr">
        <is>
          <t>https://github.com/state-spaces/mamba</t>
        </is>
      </c>
      <c r="E164" s="10" t="inlineStr">
        <is>
          <t>Hybrid linear-attention and state space models</t>
        </is>
      </c>
      <c r="F164" s="10" t="inlineStr">
        <is>
          <t>07. Model Architectures</t>
        </is>
      </c>
      <c r="G164" s="10" t="n">
        <v>2023</v>
      </c>
      <c r="H164" s="10" t="inlineStr">
        <is>
          <t>Advanced</t>
        </is>
      </c>
      <c r="I164" s="10" t="inlineStr">
        <is>
          <t>Active in 2026</t>
        </is>
      </c>
    </row>
    <row r="165">
      <c r="A165" s="10" t="n">
        <v>2024</v>
      </c>
      <c r="B165" s="10" t="inlineStr">
        <is>
          <t>GitHub</t>
        </is>
      </c>
      <c r="C165" s="10" t="inlineStr">
        <is>
          <t>Gated DeltaNet</t>
        </is>
      </c>
      <c r="D165" s="11" t="inlineStr">
        <is>
          <t>https://github.com/NVlabs/GatedDeltaNet</t>
        </is>
      </c>
      <c r="E165" s="10" t="inlineStr">
        <is>
          <t>Hybrid linear-attention and state space models</t>
        </is>
      </c>
      <c r="F165" s="10" t="inlineStr">
        <is>
          <t>07. Model Architectures</t>
        </is>
      </c>
      <c r="G165" s="10" t="n">
        <v>2023</v>
      </c>
      <c r="H165" s="10" t="inlineStr">
        <is>
          <t>Advanced</t>
        </is>
      </c>
      <c r="I165" s="10" t="inlineStr">
        <is>
          <t>Active in 2026</t>
        </is>
      </c>
    </row>
    <row r="166">
      <c r="A166" s="10" t="n">
        <v>2025</v>
      </c>
      <c r="B166" s="10" t="inlineStr">
        <is>
          <t>GitHub</t>
        </is>
      </c>
      <c r="C166" s="10" t="inlineStr">
        <is>
          <t>Kimi Linear</t>
        </is>
      </c>
      <c r="D166" s="11" t="inlineStr">
        <is>
          <t>https://github.com/MoonshotAI/Kimi-Linear</t>
        </is>
      </c>
      <c r="E166" s="10" t="inlineStr">
        <is>
          <t>Hybrid linear-attention and state space models</t>
        </is>
      </c>
      <c r="F166" s="10" t="inlineStr">
        <is>
          <t>07. Model Architectures</t>
        </is>
      </c>
      <c r="G166" s="10" t="n">
        <v>2023</v>
      </c>
      <c r="H166" s="10" t="inlineStr">
        <is>
          <t>Advanced</t>
        </is>
      </c>
      <c r="I166" s="10" t="inlineStr">
        <is>
          <t>Active in 2026</t>
        </is>
      </c>
    </row>
    <row r="167">
      <c r="A167" s="10" t="n">
        <v>2023</v>
      </c>
      <c r="B167" s="10" t="inlineStr">
        <is>
          <t>GitHub</t>
        </is>
      </c>
      <c r="C167" s="10" t="inlineStr">
        <is>
          <t>flash-linear-attention</t>
        </is>
      </c>
      <c r="D167" s="11" t="inlineStr">
        <is>
          <t>https://github.com/fla-org/flash-linear-attention</t>
        </is>
      </c>
      <c r="E167" s="10" t="inlineStr">
        <is>
          <t>Hybrid linear-attention and state space models</t>
        </is>
      </c>
      <c r="F167" s="10" t="inlineStr">
        <is>
          <t>07. Model Architectures</t>
        </is>
      </c>
      <c r="G167" s="10" t="n">
        <v>2023</v>
      </c>
      <c r="H167" s="10" t="inlineStr">
        <is>
          <t>Advanced</t>
        </is>
      </c>
      <c r="I167" s="10" t="inlineStr">
        <is>
          <t>Active in 2026</t>
        </is>
      </c>
    </row>
    <row r="168">
      <c r="A168" s="10" t="n">
        <v>2025</v>
      </c>
      <c r="B168" s="10" t="inlineStr">
        <is>
          <t>GitHub</t>
        </is>
      </c>
      <c r="C168" s="10" t="inlineStr">
        <is>
          <t>LLaDA</t>
        </is>
      </c>
      <c r="D168" s="11" t="inlineStr">
        <is>
          <t>https://github.com/ML-GSAI/LLaDA</t>
        </is>
      </c>
      <c r="E168" s="10" t="inlineStr">
        <is>
          <t>Diffusion language models</t>
        </is>
      </c>
      <c r="F168" s="10" t="inlineStr">
        <is>
          <t>07. Model Architectures</t>
        </is>
      </c>
      <c r="G168" s="10" t="n">
        <v>2025</v>
      </c>
      <c r="H168" s="10" t="inlineStr">
        <is>
          <t>Advanced</t>
        </is>
      </c>
      <c r="I168" s="10" t="inlineStr">
        <is>
          <t>Active in 2026</t>
        </is>
      </c>
    </row>
    <row r="169">
      <c r="A169" s="10" t="n">
        <v>2025</v>
      </c>
      <c r="B169" s="10" t="inlineStr">
        <is>
          <t>Docs</t>
        </is>
      </c>
      <c r="C169" s="10" t="inlineStr">
        <is>
          <t>Gemini Diffusion</t>
        </is>
      </c>
      <c r="D169" s="11" t="inlineStr">
        <is>
          <t>https://deepmind.google/models/gemini-diffusion/</t>
        </is>
      </c>
      <c r="E169" s="10" t="inlineStr">
        <is>
          <t>Diffusion language models</t>
        </is>
      </c>
      <c r="F169" s="10" t="inlineStr">
        <is>
          <t>07. Model Architectures</t>
        </is>
      </c>
      <c r="G169" s="10" t="n">
        <v>2025</v>
      </c>
      <c r="H169" s="10" t="inlineStr">
        <is>
          <t>Advanced</t>
        </is>
      </c>
      <c r="I169" s="10" t="inlineStr">
        <is>
          <t>Active in 2026</t>
        </is>
      </c>
    </row>
    <row r="170">
      <c r="A170" s="10" t="n">
        <v>2025</v>
      </c>
      <c r="B170" s="10" t="inlineStr">
        <is>
          <t>Docs</t>
        </is>
      </c>
      <c r="C170" s="10" t="inlineStr">
        <is>
          <t>Inception Labs (Mercury)</t>
        </is>
      </c>
      <c r="D170" s="11" t="inlineStr">
        <is>
          <t>https://www.inceptionlabs.ai</t>
        </is>
      </c>
      <c r="E170" s="10" t="inlineStr">
        <is>
          <t>Diffusion language models</t>
        </is>
      </c>
      <c r="F170" s="10" t="inlineStr">
        <is>
          <t>07. Model Architectures</t>
        </is>
      </c>
      <c r="G170" s="10" t="n">
        <v>2025</v>
      </c>
      <c r="H170" s="10" t="inlineStr">
        <is>
          <t>Advanced</t>
        </is>
      </c>
      <c r="I170" s="10" t="inlineStr">
        <is>
          <t>Active in 2026</t>
        </is>
      </c>
    </row>
    <row r="171">
      <c r="A171" s="10" t="n">
        <v>2022</v>
      </c>
      <c r="B171" s="10" t="inlineStr">
        <is>
          <t>Paper</t>
        </is>
      </c>
      <c r="C171" s="10" t="inlineStr">
        <is>
          <t>Speculative decoding</t>
        </is>
      </c>
      <c r="D171" s="11" t="inlineStr">
        <is>
          <t>https://arxiv.org/abs/2211.17192</t>
        </is>
      </c>
      <c r="E171" s="10" t="inlineStr">
        <is>
          <t>Multi-token prediction and speculative decoding</t>
        </is>
      </c>
      <c r="F171" s="10" t="inlineStr">
        <is>
          <t>07. Model Architectures</t>
        </is>
      </c>
      <c r="G171" s="10" t="n">
        <v>2023</v>
      </c>
      <c r="H171" s="10" t="inlineStr">
        <is>
          <t>Intermediate</t>
        </is>
      </c>
      <c r="I171" s="10" t="inlineStr">
        <is>
          <t>Active in 2026</t>
        </is>
      </c>
    </row>
    <row r="172">
      <c r="A172" s="10" t="n">
        <v>2024</v>
      </c>
      <c r="B172" s="10" t="inlineStr">
        <is>
          <t>GitHub</t>
        </is>
      </c>
      <c r="C172" s="10" t="inlineStr">
        <is>
          <t>EAGLE</t>
        </is>
      </c>
      <c r="D172" s="11" t="inlineStr">
        <is>
          <t>https://github.com/SafeAILab/EAGLE</t>
        </is>
      </c>
      <c r="E172" s="10" t="inlineStr">
        <is>
          <t>Multi-token prediction and speculative decoding</t>
        </is>
      </c>
      <c r="F172" s="10" t="inlineStr">
        <is>
          <t>07. Model Architectures</t>
        </is>
      </c>
      <c r="G172" s="10" t="n">
        <v>2023</v>
      </c>
      <c r="H172" s="10" t="inlineStr">
        <is>
          <t>Intermediate</t>
        </is>
      </c>
      <c r="I172" s="10" t="inlineStr">
        <is>
          <t>Active in 2026</t>
        </is>
      </c>
    </row>
    <row r="173">
      <c r="A173" s="10" t="n">
        <v>2024</v>
      </c>
      <c r="B173" s="10" t="inlineStr">
        <is>
          <t>Paper</t>
        </is>
      </c>
      <c r="C173" s="10" t="inlineStr">
        <is>
          <t>Multi-token prediction</t>
        </is>
      </c>
      <c r="D173" s="11" t="inlineStr">
        <is>
          <t>https://arxiv.org/abs/2404.19737</t>
        </is>
      </c>
      <c r="E173" s="10" t="inlineStr">
        <is>
          <t>Multi-token prediction and speculative decoding</t>
        </is>
      </c>
      <c r="F173" s="10" t="inlineStr">
        <is>
          <t>07. Model Architectures</t>
        </is>
      </c>
      <c r="G173" s="10" t="n">
        <v>2023</v>
      </c>
      <c r="H173" s="10" t="inlineStr">
        <is>
          <t>Intermediate</t>
        </is>
      </c>
      <c r="I173" s="10" t="inlineStr">
        <is>
          <t>Active in 2026</t>
        </is>
      </c>
    </row>
    <row r="174">
      <c r="A174" s="10" t="n">
        <v>2021</v>
      </c>
      <c r="B174" s="10" t="inlineStr">
        <is>
          <t>Paper</t>
        </is>
      </c>
      <c r="C174" s="10" t="inlineStr">
        <is>
          <t>RoFormer (RoPE)</t>
        </is>
      </c>
      <c r="D174" s="11" t="inlineStr">
        <is>
          <t>https://arxiv.org/abs/2104.09864</t>
        </is>
      </c>
      <c r="E174" s="10" t="inlineStr">
        <is>
          <t>Long-context methods</t>
        </is>
      </c>
      <c r="F174" s="10" t="inlineStr">
        <is>
          <t>07. Model Architectures</t>
        </is>
      </c>
      <c r="G174" s="10" t="n">
        <v>2021</v>
      </c>
      <c r="H174" s="10" t="inlineStr">
        <is>
          <t>Intermediate</t>
        </is>
      </c>
      <c r="I174" s="10" t="inlineStr">
        <is>
          <t>Active in 2026</t>
        </is>
      </c>
    </row>
    <row r="175">
      <c r="A175" s="10" t="n">
        <v>2023</v>
      </c>
      <c r="B175" s="10" t="inlineStr">
        <is>
          <t>GitHub</t>
        </is>
      </c>
      <c r="C175" s="10" t="inlineStr">
        <is>
          <t>YaRN</t>
        </is>
      </c>
      <c r="D175" s="11" t="inlineStr">
        <is>
          <t>https://github.com/jquesnelle/yarn</t>
        </is>
      </c>
      <c r="E175" s="10" t="inlineStr">
        <is>
          <t>Long-context methods</t>
        </is>
      </c>
      <c r="F175" s="10" t="inlineStr">
        <is>
          <t>07. Model Architectures</t>
        </is>
      </c>
      <c r="G175" s="10" t="n">
        <v>2021</v>
      </c>
      <c r="H175" s="10" t="inlineStr">
        <is>
          <t>Intermediate</t>
        </is>
      </c>
      <c r="I175" s="10" t="inlineStr">
        <is>
          <t>Active in 2026</t>
        </is>
      </c>
    </row>
    <row r="176">
      <c r="A176" s="10" t="n">
        <v>2023</v>
      </c>
      <c r="B176" s="10" t="inlineStr">
        <is>
          <t>Paper</t>
        </is>
      </c>
      <c r="C176" s="10" t="inlineStr">
        <is>
          <t>StreamingLLM</t>
        </is>
      </c>
      <c r="D176" s="11" t="inlineStr">
        <is>
          <t>https://arxiv.org/abs/2309.17453</t>
        </is>
      </c>
      <c r="E176" s="10" t="inlineStr">
        <is>
          <t>Attention sinks</t>
        </is>
      </c>
      <c r="F176" s="10" t="inlineStr">
        <is>
          <t>07. Model Architectures</t>
        </is>
      </c>
      <c r="G176" s="10" t="n">
        <v>2023</v>
      </c>
      <c r="H176" s="10" t="inlineStr">
        <is>
          <t>Advanced</t>
        </is>
      </c>
      <c r="I176" s="10" t="inlineStr">
        <is>
          <t>Established</t>
        </is>
      </c>
    </row>
    <row r="177">
      <c r="A177" s="10" t="n">
        <v>2024</v>
      </c>
      <c r="B177" s="10" t="inlineStr">
        <is>
          <t>GitHub</t>
        </is>
      </c>
      <c r="C177" s="10" t="inlineStr">
        <is>
          <t>Byte Latent Transformer</t>
        </is>
      </c>
      <c r="D177" s="11" t="inlineStr">
        <is>
          <t>https://github.com/facebookresearch/blt</t>
        </is>
      </c>
      <c r="E177" s="10" t="inlineStr">
        <is>
          <t>Tokenizer-free and byte-level models</t>
        </is>
      </c>
      <c r="F177" s="10" t="inlineStr">
        <is>
          <t>07. Model Architectures</t>
        </is>
      </c>
      <c r="G177" s="10" t="n">
        <v>2024</v>
      </c>
      <c r="H177" s="10" t="inlineStr">
        <is>
          <t>Advanced</t>
        </is>
      </c>
      <c r="I177" s="10" t="inlineStr">
        <is>
          <t>Established</t>
        </is>
      </c>
    </row>
    <row r="178">
      <c r="A178" s="10" t="n">
        <v>2025</v>
      </c>
      <c r="B178" s="10" t="inlineStr">
        <is>
          <t>GitHub</t>
        </is>
      </c>
      <c r="C178" s="10" t="inlineStr">
        <is>
          <t>Hierarchical Reasoning Model</t>
        </is>
      </c>
      <c r="D178" s="11" t="inlineStr">
        <is>
          <t>https://github.com/sapientinc/HRM</t>
        </is>
      </c>
      <c r="E178" s="10" t="inlineStr">
        <is>
          <t>Tiny recursive reasoning models</t>
        </is>
      </c>
      <c r="F178" s="10" t="inlineStr">
        <is>
          <t>07. Model Architectures</t>
        </is>
      </c>
      <c r="G178" s="10" t="n">
        <v>2025</v>
      </c>
      <c r="H178" s="10" t="inlineStr">
        <is>
          <t>Advanced</t>
        </is>
      </c>
      <c r="I178" s="10" t="inlineStr">
        <is>
          <t>Established</t>
        </is>
      </c>
    </row>
    <row r="179">
      <c r="A179" s="10" t="n">
        <v>2025</v>
      </c>
      <c r="B179" s="10" t="inlineStr">
        <is>
          <t>GitHub</t>
        </is>
      </c>
      <c r="C179" s="10" t="inlineStr">
        <is>
          <t>Tiny Recursive Models</t>
        </is>
      </c>
      <c r="D179" s="11" t="inlineStr">
        <is>
          <t>https://github.com/SamsungSAILMontreal/TinyRecursiveModels</t>
        </is>
      </c>
      <c r="E179" s="10" t="inlineStr">
        <is>
          <t>Tiny recursive reasoning models</t>
        </is>
      </c>
      <c r="F179" s="10" t="inlineStr">
        <is>
          <t>07. Model Architectures</t>
        </is>
      </c>
      <c r="G179" s="10" t="n">
        <v>2025</v>
      </c>
      <c r="H179" s="10" t="inlineStr">
        <is>
          <t>Advanced</t>
        </is>
      </c>
      <c r="I179" s="10" t="inlineStr">
        <is>
          <t>Established</t>
        </is>
      </c>
    </row>
    <row r="180">
      <c r="A180" s="10" t="n">
        <v>2025</v>
      </c>
      <c r="B180" s="10" t="inlineStr">
        <is>
          <t>Blog</t>
        </is>
      </c>
      <c r="C180" s="10" t="inlineStr">
        <is>
          <t>Hugging Face: SmolLM3</t>
        </is>
      </c>
      <c r="D180" s="11" t="inlineStr">
        <is>
          <t>https://huggingface.co/blog/smollm3</t>
        </is>
      </c>
      <c r="E180" s="10" t="inlineStr">
        <is>
          <t>Small language models</t>
        </is>
      </c>
      <c r="F180" s="10" t="inlineStr">
        <is>
          <t>07. Model Architectures</t>
        </is>
      </c>
      <c r="G180" s="10" t="n">
        <v>2024</v>
      </c>
      <c r="H180" s="10" t="inlineStr">
        <is>
          <t>Beginner</t>
        </is>
      </c>
      <c r="I180" s="10" t="inlineStr">
        <is>
          <t>Active in 2026</t>
        </is>
      </c>
    </row>
    <row r="181">
      <c r="A181" s="10" t="n">
        <v>2025</v>
      </c>
      <c r="B181" s="10" t="inlineStr">
        <is>
          <t>Docs</t>
        </is>
      </c>
      <c r="C181" s="10" t="inlineStr">
        <is>
          <t>Apple Foundation Models framework</t>
        </is>
      </c>
      <c r="D181" s="11" t="inlineStr">
        <is>
          <t>https://developer.apple.com/documentation/foundationmodels</t>
        </is>
      </c>
      <c r="E181" s="10" t="inlineStr">
        <is>
          <t>Small language models</t>
        </is>
      </c>
      <c r="F181" s="10" t="inlineStr">
        <is>
          <t>07. Model Architectures</t>
        </is>
      </c>
      <c r="G181" s="10" t="n">
        <v>2024</v>
      </c>
      <c r="H181" s="10" t="inlineStr">
        <is>
          <t>Beginner</t>
        </is>
      </c>
      <c r="I181" s="10" t="inlineStr">
        <is>
          <t>Active in 2026</t>
        </is>
      </c>
    </row>
    <row r="182">
      <c r="A182" s="10" t="n">
        <v>2025</v>
      </c>
      <c r="B182" s="10" t="inlineStr">
        <is>
          <t>Blog</t>
        </is>
      </c>
      <c r="C182" s="10" t="inlineStr">
        <is>
          <t>Raschka: The big LLM architecture comparison</t>
        </is>
      </c>
      <c r="D182" s="11" t="inlineStr">
        <is>
          <t>https://magazine.sebastianraschka.com/p/the-big-llm-architecture-comparison</t>
        </is>
      </c>
      <c r="E182" s="10" t="inlineStr">
        <is>
          <t>Architecture overviews</t>
        </is>
      </c>
      <c r="F182" s="10" t="inlineStr">
        <is>
          <t>07. Model Architectures</t>
        </is>
      </c>
      <c r="G182" s="10" t="n">
        <v>2025</v>
      </c>
      <c r="H182" s="10" t="inlineStr">
        <is>
          <t>Beginner</t>
        </is>
      </c>
      <c r="I182" s="10" t="inlineStr">
        <is>
          <t>Active in 2026</t>
        </is>
      </c>
    </row>
    <row r="183">
      <c r="A183" s="10" t="n">
        <v>2026</v>
      </c>
      <c r="B183" s="10" t="inlineStr">
        <is>
          <t>Blog</t>
        </is>
      </c>
      <c r="C183" s="10" t="inlineStr">
        <is>
          <t>Raschka: LLM research papers 2026</t>
        </is>
      </c>
      <c r="D183" s="11" t="inlineStr">
        <is>
          <t>https://magazine.sebastianraschka.com/p/llm-research-papers-2026-part1</t>
        </is>
      </c>
      <c r="E183" s="10" t="inlineStr">
        <is>
          <t>Architecture overviews</t>
        </is>
      </c>
      <c r="F183" s="10" t="inlineStr">
        <is>
          <t>07. Model Architectures</t>
        </is>
      </c>
      <c r="G183" s="10" t="n">
        <v>2025</v>
      </c>
      <c r="H183" s="10" t="inlineStr">
        <is>
          <t>Beginner</t>
        </is>
      </c>
      <c r="I183" s="10" t="inlineStr">
        <is>
          <t>Active in 2026</t>
        </is>
      </c>
    </row>
    <row r="184">
      <c r="A184" s="10" t="n">
        <v>2025</v>
      </c>
      <c r="B184" s="10" t="inlineStr">
        <is>
          <t>Blog</t>
        </is>
      </c>
      <c r="C184" s="10" t="inlineStr">
        <is>
          <t>HF: The Ultra-Scale Playbook</t>
        </is>
      </c>
      <c r="D184" s="11" t="inlineStr">
        <is>
          <t>https://huggingface.co/spaces/nanotron/ultrascale-playbook</t>
        </is>
      </c>
      <c r="E184" s="10" t="inlineStr">
        <is>
          <t>Parallelism strategies</t>
        </is>
      </c>
      <c r="F184" s="10" t="inlineStr">
        <is>
          <t>08. Training at Scale and Fine-Tuning</t>
        </is>
      </c>
      <c r="G184" s="10" t="n">
        <v>2019</v>
      </c>
      <c r="H184" s="10" t="inlineStr">
        <is>
          <t>Advanced</t>
        </is>
      </c>
      <c r="I184" s="10" t="inlineStr">
        <is>
          <t>Active in 2026</t>
        </is>
      </c>
    </row>
    <row r="185">
      <c r="A185" s="10" t="n">
        <v>2025</v>
      </c>
      <c r="B185" s="10" t="inlineStr">
        <is>
          <t>Blog</t>
        </is>
      </c>
      <c r="C185" s="10" t="inlineStr">
        <is>
          <t>How to Scale Your Model (JAX)</t>
        </is>
      </c>
      <c r="D185" s="11" t="inlineStr">
        <is>
          <t>https://jax-ml.github.io/scaling-book/</t>
        </is>
      </c>
      <c r="E185" s="10" t="inlineStr">
        <is>
          <t>Parallelism strategies</t>
        </is>
      </c>
      <c r="F185" s="10" t="inlineStr">
        <is>
          <t>08. Training at Scale and Fine-Tuning</t>
        </is>
      </c>
      <c r="G185" s="10" t="n">
        <v>2019</v>
      </c>
      <c r="H185" s="10" t="inlineStr">
        <is>
          <t>Advanced</t>
        </is>
      </c>
      <c r="I185" s="10" t="inlineStr">
        <is>
          <t>Active in 2026</t>
        </is>
      </c>
    </row>
    <row r="186">
      <c r="A186" s="10" t="n">
        <v>2024</v>
      </c>
      <c r="B186" s="10" t="inlineStr">
        <is>
          <t>GitHub</t>
        </is>
      </c>
      <c r="C186" s="10" t="inlineStr">
        <is>
          <t>torchtitan</t>
        </is>
      </c>
      <c r="D186" s="11" t="inlineStr">
        <is>
          <t>https://github.com/pytorch/torchtitan</t>
        </is>
      </c>
      <c r="E186" s="10" t="inlineStr">
        <is>
          <t>Parallelism strategies</t>
        </is>
      </c>
      <c r="F186" s="10" t="inlineStr">
        <is>
          <t>08. Training at Scale and Fine-Tuning</t>
        </is>
      </c>
      <c r="G186" s="10" t="n">
        <v>2019</v>
      </c>
      <c r="H186" s="10" t="inlineStr">
        <is>
          <t>Advanced</t>
        </is>
      </c>
      <c r="I186" s="10" t="inlineStr">
        <is>
          <t>Active in 2026</t>
        </is>
      </c>
    </row>
    <row r="187">
      <c r="A187" s="10" t="n">
        <v>2019</v>
      </c>
      <c r="B187" s="10" t="inlineStr">
        <is>
          <t>GitHub</t>
        </is>
      </c>
      <c r="C187" s="10" t="inlineStr">
        <is>
          <t>Megatron-LM</t>
        </is>
      </c>
      <c r="D187" s="11" t="inlineStr">
        <is>
          <t>https://github.com/NVIDIA/Megatron-LM</t>
        </is>
      </c>
      <c r="E187" s="10" t="inlineStr">
        <is>
          <t>Parallelism strategies</t>
        </is>
      </c>
      <c r="F187" s="10" t="inlineStr">
        <is>
          <t>08. Training at Scale and Fine-Tuning</t>
        </is>
      </c>
      <c r="G187" s="10" t="n">
        <v>2019</v>
      </c>
      <c r="H187" s="10" t="inlineStr">
        <is>
          <t>Advanced</t>
        </is>
      </c>
      <c r="I187" s="10" t="inlineStr">
        <is>
          <t>Active in 2026</t>
        </is>
      </c>
    </row>
    <row r="188">
      <c r="A188" s="10" t="n">
        <v>2020</v>
      </c>
      <c r="B188" s="10" t="inlineStr">
        <is>
          <t>GitHub</t>
        </is>
      </c>
      <c r="C188" s="10" t="inlineStr">
        <is>
          <t>DeepSpeed</t>
        </is>
      </c>
      <c r="D188" s="11" t="inlineStr">
        <is>
          <t>https://github.com/deepspeedai/DeepSpeed</t>
        </is>
      </c>
      <c r="E188" s="10" t="inlineStr">
        <is>
          <t>Parallelism strategies</t>
        </is>
      </c>
      <c r="F188" s="10" t="inlineStr">
        <is>
          <t>08. Training at Scale and Fine-Tuning</t>
        </is>
      </c>
      <c r="G188" s="10" t="n">
        <v>2019</v>
      </c>
      <c r="H188" s="10" t="inlineStr">
        <is>
          <t>Advanced</t>
        </is>
      </c>
      <c r="I188" s="10" t="inlineStr">
        <is>
          <t>Active in 2026</t>
        </is>
      </c>
    </row>
    <row r="189">
      <c r="A189" s="10" t="n">
        <v>2022</v>
      </c>
      <c r="B189" s="10" t="inlineStr">
        <is>
          <t>Paper</t>
        </is>
      </c>
      <c r="C189" s="10" t="inlineStr">
        <is>
          <t>Chinchilla</t>
        </is>
      </c>
      <c r="D189" s="11" t="inlineStr">
        <is>
          <t>https://arxiv.org/abs/2203.15556</t>
        </is>
      </c>
      <c r="E189" s="10" t="inlineStr">
        <is>
          <t>Scaling laws</t>
        </is>
      </c>
      <c r="F189" s="10" t="inlineStr">
        <is>
          <t>08. Training at Scale and Fine-Tuning</t>
        </is>
      </c>
      <c r="G189" s="10" t="n">
        <v>2020</v>
      </c>
      <c r="H189" s="10" t="inlineStr">
        <is>
          <t>Intermediate</t>
        </is>
      </c>
      <c r="I189" s="10" t="inlineStr">
        <is>
          <t>Active in 2026</t>
        </is>
      </c>
    </row>
    <row r="190">
      <c r="A190" s="10" t="n">
        <v>2022</v>
      </c>
      <c r="B190" s="10" t="inlineStr">
        <is>
          <t>Docs</t>
        </is>
      </c>
      <c r="C190" s="10" t="inlineStr">
        <is>
          <t>Epoch AI data</t>
        </is>
      </c>
      <c r="D190" s="11" t="inlineStr">
        <is>
          <t>https://epoch.ai/data</t>
        </is>
      </c>
      <c r="E190" s="10" t="inlineStr">
        <is>
          <t>Scaling laws</t>
        </is>
      </c>
      <c r="F190" s="10" t="inlineStr">
        <is>
          <t>08. Training at Scale and Fine-Tuning</t>
        </is>
      </c>
      <c r="G190" s="10" t="n">
        <v>2020</v>
      </c>
      <c r="H190" s="10" t="inlineStr">
        <is>
          <t>Intermediate</t>
        </is>
      </c>
      <c r="I190" s="10" t="inlineStr">
        <is>
          <t>Active in 2026</t>
        </is>
      </c>
    </row>
    <row r="191">
      <c r="A191" s="10" t="n">
        <v>2024</v>
      </c>
      <c r="B191" s="10" t="inlineStr">
        <is>
          <t>Blog</t>
        </is>
      </c>
      <c r="C191" s="10" t="inlineStr">
        <is>
          <t>Keller Jordan: Muon</t>
        </is>
      </c>
      <c r="D191" s="11" t="inlineStr">
        <is>
          <t>https://kellerjordan.github.io/posts/muon/</t>
        </is>
      </c>
      <c r="E191" s="10" t="inlineStr">
        <is>
          <t>Muon and modern optimizers</t>
        </is>
      </c>
      <c r="F191" s="10" t="inlineStr">
        <is>
          <t>08. Training at Scale and Fine-Tuning</t>
        </is>
      </c>
      <c r="G191" s="10" t="n">
        <v>2024</v>
      </c>
      <c r="H191" s="10" t="inlineStr">
        <is>
          <t>Advanced</t>
        </is>
      </c>
      <c r="I191" s="10" t="inlineStr">
        <is>
          <t>Active in 2026</t>
        </is>
      </c>
    </row>
    <row r="192">
      <c r="A192" s="10" t="n">
        <v>2025</v>
      </c>
      <c r="B192" s="10" t="inlineStr">
        <is>
          <t>GitHub</t>
        </is>
      </c>
      <c r="C192" s="10" t="inlineStr">
        <is>
          <t>Kimi K2</t>
        </is>
      </c>
      <c r="D192" s="11" t="inlineStr">
        <is>
          <t>https://github.com/MoonshotAI/Kimi-K2</t>
        </is>
      </c>
      <c r="E192" s="10" t="inlineStr">
        <is>
          <t>Muon and modern optimizers</t>
        </is>
      </c>
      <c r="F192" s="10" t="inlineStr">
        <is>
          <t>08. Training at Scale and Fine-Tuning</t>
        </is>
      </c>
      <c r="G192" s="10" t="n">
        <v>2024</v>
      </c>
      <c r="H192" s="10" t="inlineStr">
        <is>
          <t>Advanced</t>
        </is>
      </c>
      <c r="I192" s="10" t="inlineStr">
        <is>
          <t>Active in 2026</t>
        </is>
      </c>
    </row>
    <row r="193">
      <c r="A193" s="10" t="n">
        <v>2024</v>
      </c>
      <c r="B193" s="10" t="inlineStr">
        <is>
          <t>GitHub</t>
        </is>
      </c>
      <c r="C193" s="10" t="inlineStr">
        <is>
          <t>modded-nanogpt</t>
        </is>
      </c>
      <c r="D193" s="11" t="inlineStr">
        <is>
          <t>https://github.com/KellerJordan/modded-nanogpt</t>
        </is>
      </c>
      <c r="E193" s="10" t="inlineStr">
        <is>
          <t>Muon and modern optimizers</t>
        </is>
      </c>
      <c r="F193" s="10" t="inlineStr">
        <is>
          <t>08. Training at Scale and Fine-Tuning</t>
        </is>
      </c>
      <c r="G193" s="10" t="n">
        <v>2024</v>
      </c>
      <c r="H193" s="10" t="inlineStr">
        <is>
          <t>Advanced</t>
        </is>
      </c>
      <c r="I193" s="10" t="inlineStr">
        <is>
          <t>Active in 2026</t>
        </is>
      </c>
    </row>
    <row r="194">
      <c r="A194" s="10" t="n">
        <v>2024</v>
      </c>
      <c r="B194" s="10" t="inlineStr">
        <is>
          <t>Blog</t>
        </is>
      </c>
      <c r="C194" s="10" t="inlineStr">
        <is>
          <t>FineWeb</t>
        </is>
      </c>
      <c r="D194" s="11" t="inlineStr">
        <is>
          <t>https://huggingface.co/spaces/HuggingFaceFW/blogpost-fineweb-v1</t>
        </is>
      </c>
      <c r="E194" s="10" t="inlineStr">
        <is>
          <t>Data curation and synthetic data</t>
        </is>
      </c>
      <c r="F194" s="10" t="inlineStr">
        <is>
          <t>08. Training at Scale and Fine-Tuning</t>
        </is>
      </c>
      <c r="G194" s="10" t="n">
        <v>2023</v>
      </c>
      <c r="H194" s="10" t="inlineStr">
        <is>
          <t>Intermediate</t>
        </is>
      </c>
      <c r="I194" s="10" t="inlineStr">
        <is>
          <t>Active in 2026</t>
        </is>
      </c>
    </row>
    <row r="195">
      <c r="A195" s="10" t="n">
        <v>2024</v>
      </c>
      <c r="B195" s="10" t="inlineStr">
        <is>
          <t>Blog</t>
        </is>
      </c>
      <c r="C195" s="10" t="inlineStr">
        <is>
          <t>Cosmopedia</t>
        </is>
      </c>
      <c r="D195" s="11" t="inlineStr">
        <is>
          <t>https://huggingface.co/blog/cosmopedia</t>
        </is>
      </c>
      <c r="E195" s="10" t="inlineStr">
        <is>
          <t>Data curation and synthetic data</t>
        </is>
      </c>
      <c r="F195" s="10" t="inlineStr">
        <is>
          <t>08. Training at Scale and Fine-Tuning</t>
        </is>
      </c>
      <c r="G195" s="10" t="n">
        <v>2023</v>
      </c>
      <c r="H195" s="10" t="inlineStr">
        <is>
          <t>Intermediate</t>
        </is>
      </c>
      <c r="I195" s="10" t="inlineStr">
        <is>
          <t>Active in 2026</t>
        </is>
      </c>
    </row>
    <row r="196">
      <c r="A196" s="10" t="n">
        <v>2024</v>
      </c>
      <c r="B196" s="10" t="inlineStr">
        <is>
          <t>Docs</t>
        </is>
      </c>
      <c r="C196" s="10" t="inlineStr">
        <is>
          <t>Allen AI OLMo</t>
        </is>
      </c>
      <c r="D196" s="11" t="inlineStr">
        <is>
          <t>https://allenai.org/olmo</t>
        </is>
      </c>
      <c r="E196" s="10" t="inlineStr">
        <is>
          <t>Mid-training</t>
        </is>
      </c>
      <c r="F196" s="10" t="inlineStr">
        <is>
          <t>08. Training at Scale and Fine-Tuning</t>
        </is>
      </c>
      <c r="G196" s="10" t="n">
        <v>2024</v>
      </c>
      <c r="H196" s="10" t="inlineStr">
        <is>
          <t>Intermediate</t>
        </is>
      </c>
      <c r="I196" s="10" t="inlineStr">
        <is>
          <t>Active in 2026</t>
        </is>
      </c>
    </row>
    <row r="197">
      <c r="A197" s="10" t="n">
        <v>2021</v>
      </c>
      <c r="B197" s="10" t="inlineStr">
        <is>
          <t>Paper</t>
        </is>
      </c>
      <c r="C197" s="10" t="inlineStr">
        <is>
          <t>LoRA</t>
        </is>
      </c>
      <c r="D197" s="11" t="inlineStr">
        <is>
          <t>https://arxiv.org/abs/2106.09685</t>
        </is>
      </c>
      <c r="E197" s="10" t="inlineStr">
        <is>
          <t>LoRA and parameter-efficient fine-tuning</t>
        </is>
      </c>
      <c r="F197" s="10" t="inlineStr">
        <is>
          <t>08. Training at Scale and Fine-Tuning</t>
        </is>
      </c>
      <c r="G197" s="10" t="n">
        <v>2021</v>
      </c>
      <c r="H197" s="10" t="inlineStr">
        <is>
          <t>Intermediate</t>
        </is>
      </c>
      <c r="I197" s="10" t="inlineStr">
        <is>
          <t>Established</t>
        </is>
      </c>
    </row>
    <row r="198">
      <c r="A198" s="10" t="n">
        <v>2023</v>
      </c>
      <c r="B198" s="10" t="inlineStr">
        <is>
          <t>Paper</t>
        </is>
      </c>
      <c r="C198" s="10" t="inlineStr">
        <is>
          <t>QLoRA</t>
        </is>
      </c>
      <c r="D198" s="11" t="inlineStr">
        <is>
          <t>https://arxiv.org/abs/2305.14314</t>
        </is>
      </c>
      <c r="E198" s="10" t="inlineStr">
        <is>
          <t>LoRA and parameter-efficient fine-tuning</t>
        </is>
      </c>
      <c r="F198" s="10" t="inlineStr">
        <is>
          <t>08. Training at Scale and Fine-Tuning</t>
        </is>
      </c>
      <c r="G198" s="10" t="n">
        <v>2021</v>
      </c>
      <c r="H198" s="10" t="inlineStr">
        <is>
          <t>Intermediate</t>
        </is>
      </c>
      <c r="I198" s="10" t="inlineStr">
        <is>
          <t>Established</t>
        </is>
      </c>
    </row>
    <row r="199">
      <c r="A199" s="10" t="n">
        <v>2025</v>
      </c>
      <c r="B199" s="10" t="inlineStr">
        <is>
          <t>Blog</t>
        </is>
      </c>
      <c r="C199" s="10" t="inlineStr">
        <is>
          <t>Thinking Machines: LoRA without regret</t>
        </is>
      </c>
      <c r="D199" s="11" t="inlineStr">
        <is>
          <t>https://thinkingmachines.ai/blog/lora/</t>
        </is>
      </c>
      <c r="E199" s="10" t="inlineStr">
        <is>
          <t>LoRA and parameter-efficient fine-tuning</t>
        </is>
      </c>
      <c r="F199" s="10" t="inlineStr">
        <is>
          <t>08. Training at Scale and Fine-Tuning</t>
        </is>
      </c>
      <c r="G199" s="10" t="n">
        <v>2021</v>
      </c>
      <c r="H199" s="10" t="inlineStr">
        <is>
          <t>Intermediate</t>
        </is>
      </c>
      <c r="I199" s="10" t="inlineStr">
        <is>
          <t>Established</t>
        </is>
      </c>
    </row>
    <row r="200">
      <c r="A200" s="10" t="n">
        <v>2023</v>
      </c>
      <c r="B200" s="10" t="inlineStr">
        <is>
          <t>GitHub</t>
        </is>
      </c>
      <c r="C200" s="10" t="inlineStr">
        <is>
          <t>HF PEFT</t>
        </is>
      </c>
      <c r="D200" s="11" t="inlineStr">
        <is>
          <t>https://github.com/huggingface/peft</t>
        </is>
      </c>
      <c r="E200" s="10" t="inlineStr">
        <is>
          <t>LoRA and parameter-efficient fine-tuning</t>
        </is>
      </c>
      <c r="F200" s="10" t="inlineStr">
        <is>
          <t>08. Training at Scale and Fine-Tuning</t>
        </is>
      </c>
      <c r="G200" s="10" t="n">
        <v>2021</v>
      </c>
      <c r="H200" s="10" t="inlineStr">
        <is>
          <t>Intermediate</t>
        </is>
      </c>
      <c r="I200" s="10" t="inlineStr">
        <is>
          <t>Established</t>
        </is>
      </c>
    </row>
    <row r="201">
      <c r="A201" s="10" t="n">
        <v>2023</v>
      </c>
      <c r="B201" s="10" t="inlineStr">
        <is>
          <t>GitHub</t>
        </is>
      </c>
      <c r="C201" s="10" t="inlineStr">
        <is>
          <t>Unsloth</t>
        </is>
      </c>
      <c r="D201" s="11" t="inlineStr">
        <is>
          <t>https://github.com/unslothai/unsloth</t>
        </is>
      </c>
      <c r="E201" s="10" t="inlineStr">
        <is>
          <t>Fine-tuning toolkits and APIs</t>
        </is>
      </c>
      <c r="F201" s="10" t="inlineStr">
        <is>
          <t>08. Training at Scale and Fine-Tuning</t>
        </is>
      </c>
      <c r="G201" s="10" t="n">
        <v>2023</v>
      </c>
      <c r="H201" s="10" t="inlineStr">
        <is>
          <t>Beginner</t>
        </is>
      </c>
      <c r="I201" s="10" t="inlineStr">
        <is>
          <t>Active in 2026</t>
        </is>
      </c>
    </row>
    <row r="202">
      <c r="A202" s="10" t="n">
        <v>2023</v>
      </c>
      <c r="B202" s="10" t="inlineStr">
        <is>
          <t>GitHub</t>
        </is>
      </c>
      <c r="C202" s="10" t="inlineStr">
        <is>
          <t>Axolotl</t>
        </is>
      </c>
      <c r="D202" s="11" t="inlineStr">
        <is>
          <t>https://github.com/axolotl-ai-cloud/axolotl</t>
        </is>
      </c>
      <c r="E202" s="10" t="inlineStr">
        <is>
          <t>Fine-tuning toolkits and APIs</t>
        </is>
      </c>
      <c r="F202" s="10" t="inlineStr">
        <is>
          <t>08. Training at Scale and Fine-Tuning</t>
        </is>
      </c>
      <c r="G202" s="10" t="n">
        <v>2023</v>
      </c>
      <c r="H202" s="10" t="inlineStr">
        <is>
          <t>Beginner</t>
        </is>
      </c>
      <c r="I202" s="10" t="inlineStr">
        <is>
          <t>Active in 2026</t>
        </is>
      </c>
    </row>
    <row r="203">
      <c r="A203" s="10" t="n">
        <v>2023</v>
      </c>
      <c r="B203" s="10" t="inlineStr">
        <is>
          <t>GitHub</t>
        </is>
      </c>
      <c r="C203" s="10" t="inlineStr">
        <is>
          <t>LLaMA-Factory</t>
        </is>
      </c>
      <c r="D203" s="11" t="inlineStr">
        <is>
          <t>https://github.com/hiyouga/LLaMA-Factory</t>
        </is>
      </c>
      <c r="E203" s="10" t="inlineStr">
        <is>
          <t>Fine-tuning toolkits and APIs</t>
        </is>
      </c>
      <c r="F203" s="10" t="inlineStr">
        <is>
          <t>08. Training at Scale and Fine-Tuning</t>
        </is>
      </c>
      <c r="G203" s="10" t="n">
        <v>2023</v>
      </c>
      <c r="H203" s="10" t="inlineStr">
        <is>
          <t>Beginner</t>
        </is>
      </c>
      <c r="I203" s="10" t="inlineStr">
        <is>
          <t>Active in 2026</t>
        </is>
      </c>
    </row>
    <row r="204">
      <c r="A204" s="10" t="n">
        <v>2025</v>
      </c>
      <c r="B204" s="10" t="inlineStr">
        <is>
          <t>Docs</t>
        </is>
      </c>
      <c r="C204" s="10" t="inlineStr">
        <is>
          <t>Tinker</t>
        </is>
      </c>
      <c r="D204" s="11" t="inlineStr">
        <is>
          <t>https://thinkingmachines.ai/tinker/</t>
        </is>
      </c>
      <c r="E204" s="10" t="inlineStr">
        <is>
          <t>Fine-tuning toolkits and APIs</t>
        </is>
      </c>
      <c r="F204" s="10" t="inlineStr">
        <is>
          <t>08. Training at Scale and Fine-Tuning</t>
        </is>
      </c>
      <c r="G204" s="10" t="n">
        <v>2023</v>
      </c>
      <c r="H204" s="10" t="inlineStr">
        <is>
          <t>Beginner</t>
        </is>
      </c>
      <c r="I204" s="10" t="inlineStr">
        <is>
          <t>Active in 2026</t>
        </is>
      </c>
    </row>
    <row r="205">
      <c r="A205" s="10" t="n">
        <v>2023</v>
      </c>
      <c r="B205" s="10" t="inlineStr">
        <is>
          <t>GitHub</t>
        </is>
      </c>
      <c r="C205" s="10" t="inlineStr">
        <is>
          <t>mergekit</t>
        </is>
      </c>
      <c r="D205" s="11" t="inlineStr">
        <is>
          <t>https://github.com/arcee-ai/mergekit</t>
        </is>
      </c>
      <c r="E205" s="10" t="inlineStr">
        <is>
          <t>Model merging</t>
        </is>
      </c>
      <c r="F205" s="10" t="inlineStr">
        <is>
          <t>08. Training at Scale and Fine-Tuning</t>
        </is>
      </c>
      <c r="G205" s="10" t="n">
        <v>2023</v>
      </c>
      <c r="H205" s="10" t="inlineStr">
        <is>
          <t>Intermediate</t>
        </is>
      </c>
      <c r="I205" s="10" t="inlineStr">
        <is>
          <t>Established</t>
        </is>
      </c>
    </row>
    <row r="206">
      <c r="A206" s="10" t="n">
        <v>2023</v>
      </c>
      <c r="B206" s="10" t="inlineStr">
        <is>
          <t>Paper</t>
        </is>
      </c>
      <c r="C206" s="10" t="inlineStr">
        <is>
          <t>DiLoCo</t>
        </is>
      </c>
      <c r="D206" s="11" t="inlineStr">
        <is>
          <t>https://arxiv.org/abs/2311.08105</t>
        </is>
      </c>
      <c r="E206" s="10" t="inlineStr">
        <is>
          <t>Decentralized training</t>
        </is>
      </c>
      <c r="F206" s="10" t="inlineStr">
        <is>
          <t>08. Training at Scale and Fine-Tuning</t>
        </is>
      </c>
      <c r="G206" s="10" t="n">
        <v>2023</v>
      </c>
      <c r="H206" s="10" t="inlineStr">
        <is>
          <t>Advanced</t>
        </is>
      </c>
      <c r="I206" s="10" t="inlineStr">
        <is>
          <t>Active in 2026</t>
        </is>
      </c>
    </row>
    <row r="207">
      <c r="A207" s="10" t="n">
        <v>2025</v>
      </c>
      <c r="B207" s="10" t="inlineStr">
        <is>
          <t>GitHub</t>
        </is>
      </c>
      <c r="C207" s="10" t="inlineStr">
        <is>
          <t>prime-rl</t>
        </is>
      </c>
      <c r="D207" s="11" t="inlineStr">
        <is>
          <t>https://github.com/PrimeIntellect-ai/prime-rl</t>
        </is>
      </c>
      <c r="E207" s="10" t="inlineStr">
        <is>
          <t>Decentralized training</t>
        </is>
      </c>
      <c r="F207" s="10" t="inlineStr">
        <is>
          <t>08. Training at Scale and Fine-Tuning</t>
        </is>
      </c>
      <c r="G207" s="10" t="n">
        <v>2023</v>
      </c>
      <c r="H207" s="10" t="inlineStr">
        <is>
          <t>Advanced</t>
        </is>
      </c>
      <c r="I207" s="10" t="inlineStr">
        <is>
          <t>Active in 2026</t>
        </is>
      </c>
    </row>
    <row r="208">
      <c r="A208" s="10" t="n">
        <v>2025</v>
      </c>
      <c r="B208" s="10" t="inlineStr">
        <is>
          <t>GitHub</t>
        </is>
      </c>
      <c r="C208" s="10" t="inlineStr">
        <is>
          <t>nanochat</t>
        </is>
      </c>
      <c r="D208" s="11" t="inlineStr">
        <is>
          <t>https://github.com/karpathy/nanochat</t>
        </is>
      </c>
      <c r="E208" s="10" t="inlineStr">
        <is>
          <t>Build-it-yourself references</t>
        </is>
      </c>
      <c r="F208" s="10" t="inlineStr">
        <is>
          <t>08. Training at Scale and Fine-Tuning</t>
        </is>
      </c>
      <c r="G208" s="10" t="n">
        <v>2023</v>
      </c>
      <c r="H208" s="10" t="inlineStr">
        <is>
          <t>Beginner</t>
        </is>
      </c>
      <c r="I208" s="10" t="inlineStr">
        <is>
          <t>Active in 2026</t>
        </is>
      </c>
    </row>
    <row r="209">
      <c r="A209" s="10" t="n">
        <v>2025</v>
      </c>
      <c r="B209" s="10" t="inlineStr">
        <is>
          <t>Docs</t>
        </is>
      </c>
      <c r="C209" s="10" t="inlineStr">
        <is>
          <t>Stanford CS336</t>
        </is>
      </c>
      <c r="D209" s="11" t="inlineStr">
        <is>
          <t>https://stanford-cs336.github.io</t>
        </is>
      </c>
      <c r="E209" s="10" t="inlineStr">
        <is>
          <t>Build-it-yourself references</t>
        </is>
      </c>
      <c r="F209" s="10" t="inlineStr">
        <is>
          <t>08. Training at Scale and Fine-Tuning</t>
        </is>
      </c>
      <c r="G209" s="10" t="n">
        <v>2023</v>
      </c>
      <c r="H209" s="10" t="inlineStr">
        <is>
          <t>Beginner</t>
        </is>
      </c>
      <c r="I209" s="10" t="inlineStr">
        <is>
          <t>Active in 2026</t>
        </is>
      </c>
    </row>
    <row r="210">
      <c r="A210" s="10" t="n">
        <v>2023</v>
      </c>
      <c r="B210" s="10" t="inlineStr">
        <is>
          <t>GitHub</t>
        </is>
      </c>
      <c r="C210" s="10" t="inlineStr">
        <is>
          <t>vLLM</t>
        </is>
      </c>
      <c r="D210" s="11" t="inlineStr">
        <is>
          <t>https://github.com/vllm-project/vllm</t>
        </is>
      </c>
      <c r="E210" s="10" t="inlineStr">
        <is>
          <t>Inference engines</t>
        </is>
      </c>
      <c r="F210" s="10" t="inlineStr">
        <is>
          <t>09. Inference and Serving</t>
        </is>
      </c>
      <c r="G210" s="10" t="n">
        <v>2023</v>
      </c>
      <c r="H210" s="10" t="inlineStr">
        <is>
          <t>Beginner</t>
        </is>
      </c>
      <c r="I210" s="10" t="inlineStr">
        <is>
          <t>Active in 2026</t>
        </is>
      </c>
    </row>
    <row r="211">
      <c r="A211" s="10" t="n">
        <v>2024</v>
      </c>
      <c r="B211" s="10" t="inlineStr">
        <is>
          <t>GitHub</t>
        </is>
      </c>
      <c r="C211" s="10" t="inlineStr">
        <is>
          <t>SGLang</t>
        </is>
      </c>
      <c r="D211" s="11" t="inlineStr">
        <is>
          <t>https://github.com/sgl-project/sglang</t>
        </is>
      </c>
      <c r="E211" s="10" t="inlineStr">
        <is>
          <t>Inference engines</t>
        </is>
      </c>
      <c r="F211" s="10" t="inlineStr">
        <is>
          <t>09. Inference and Serving</t>
        </is>
      </c>
      <c r="G211" s="10" t="n">
        <v>2023</v>
      </c>
      <c r="H211" s="10" t="inlineStr">
        <is>
          <t>Beginner</t>
        </is>
      </c>
      <c r="I211" s="10" t="inlineStr">
        <is>
          <t>Active in 2026</t>
        </is>
      </c>
    </row>
    <row r="212">
      <c r="A212" s="10" t="n">
        <v>2023</v>
      </c>
      <c r="B212" s="10" t="inlineStr">
        <is>
          <t>GitHub</t>
        </is>
      </c>
      <c r="C212" s="10" t="inlineStr">
        <is>
          <t>TensorRT-LLM</t>
        </is>
      </c>
      <c r="D212" s="11" t="inlineStr">
        <is>
          <t>https://github.com/NVIDIA/TensorRT-LLM</t>
        </is>
      </c>
      <c r="E212" s="10" t="inlineStr">
        <is>
          <t>Inference engines</t>
        </is>
      </c>
      <c r="F212" s="10" t="inlineStr">
        <is>
          <t>09. Inference and Serving</t>
        </is>
      </c>
      <c r="G212" s="10" t="n">
        <v>2023</v>
      </c>
      <c r="H212" s="10" t="inlineStr">
        <is>
          <t>Beginner</t>
        </is>
      </c>
      <c r="I212" s="10" t="inlineStr">
        <is>
          <t>Active in 2026</t>
        </is>
      </c>
    </row>
    <row r="213">
      <c r="A213" s="10" t="n">
        <v>2023</v>
      </c>
      <c r="B213" s="10" t="inlineStr">
        <is>
          <t>GitHub</t>
        </is>
      </c>
      <c r="C213" s="10" t="inlineStr">
        <is>
          <t>llama.cpp</t>
        </is>
      </c>
      <c r="D213" s="11" t="inlineStr">
        <is>
          <t>https://github.com/ggml-org/llama.cpp</t>
        </is>
      </c>
      <c r="E213" s="10" t="inlineStr">
        <is>
          <t>Inference engines</t>
        </is>
      </c>
      <c r="F213" s="10" t="inlineStr">
        <is>
          <t>09. Inference and Serving</t>
        </is>
      </c>
      <c r="G213" s="10" t="n">
        <v>2023</v>
      </c>
      <c r="H213" s="10" t="inlineStr">
        <is>
          <t>Beginner</t>
        </is>
      </c>
      <c r="I213" s="10" t="inlineStr">
        <is>
          <t>Active in 2026</t>
        </is>
      </c>
    </row>
    <row r="214">
      <c r="A214" s="10" t="n">
        <v>2023</v>
      </c>
      <c r="B214" s="10" t="inlineStr">
        <is>
          <t>GitHub</t>
        </is>
      </c>
      <c r="C214" s="10" t="inlineStr">
        <is>
          <t>Ollama</t>
        </is>
      </c>
      <c r="D214" s="11" t="inlineStr">
        <is>
          <t>https://github.com/ollama/ollama</t>
        </is>
      </c>
      <c r="E214" s="10" t="inlineStr">
        <is>
          <t>Inference engines</t>
        </is>
      </c>
      <c r="F214" s="10" t="inlineStr">
        <is>
          <t>09. Inference and Serving</t>
        </is>
      </c>
      <c r="G214" s="10" t="n">
        <v>2023</v>
      </c>
      <c r="H214" s="10" t="inlineStr">
        <is>
          <t>Beginner</t>
        </is>
      </c>
      <c r="I214" s="10" t="inlineStr">
        <is>
          <t>Active in 2026</t>
        </is>
      </c>
    </row>
    <row r="215">
      <c r="A215" s="10" t="n">
        <v>2023</v>
      </c>
      <c r="B215" s="10" t="inlineStr">
        <is>
          <t>GitHub</t>
        </is>
      </c>
      <c r="C215" s="10" t="inlineStr">
        <is>
          <t>MLX</t>
        </is>
      </c>
      <c r="D215" s="11" t="inlineStr">
        <is>
          <t>https://github.com/ml-explore/mlx</t>
        </is>
      </c>
      <c r="E215" s="10" t="inlineStr">
        <is>
          <t>Inference engines</t>
        </is>
      </c>
      <c r="F215" s="10" t="inlineStr">
        <is>
          <t>09. Inference and Serving</t>
        </is>
      </c>
      <c r="G215" s="10" t="n">
        <v>2023</v>
      </c>
      <c r="H215" s="10" t="inlineStr">
        <is>
          <t>Beginner</t>
        </is>
      </c>
      <c r="I215" s="10" t="inlineStr">
        <is>
          <t>Active in 2026</t>
        </is>
      </c>
    </row>
    <row r="216">
      <c r="A216" s="10" t="n">
        <v>2023</v>
      </c>
      <c r="B216" s="10" t="inlineStr">
        <is>
          <t>Paper</t>
        </is>
      </c>
      <c r="C216" s="10" t="inlineStr">
        <is>
          <t>PagedAttention</t>
        </is>
      </c>
      <c r="D216" s="11" t="inlineStr">
        <is>
          <t>https://arxiv.org/abs/2309.06180</t>
        </is>
      </c>
      <c r="E216" s="10" t="inlineStr">
        <is>
          <t>KV cache and PagedAttention</t>
        </is>
      </c>
      <c r="F216" s="10" t="inlineStr">
        <is>
          <t>09. Inference and Serving</t>
        </is>
      </c>
      <c r="G216" s="10" t="n">
        <v>2023</v>
      </c>
      <c r="H216" s="10" t="inlineStr">
        <is>
          <t>Intermediate</t>
        </is>
      </c>
      <c r="I216" s="10" t="inlineStr">
        <is>
          <t>Established</t>
        </is>
      </c>
    </row>
    <row r="217">
      <c r="A217" s="10" t="n">
        <v>2024</v>
      </c>
      <c r="B217" s="10" t="inlineStr">
        <is>
          <t>GitHub</t>
        </is>
      </c>
      <c r="C217" s="10" t="inlineStr">
        <is>
          <t>SGLang (RadixAttention)</t>
        </is>
      </c>
      <c r="D217" s="11" t="inlineStr">
        <is>
          <t>https://github.com/sgl-project/sglang</t>
        </is>
      </c>
      <c r="E217" s="10" t="inlineStr">
        <is>
          <t>Continuous batching and prefix caching</t>
        </is>
      </c>
      <c r="F217" s="10" t="inlineStr">
        <is>
          <t>09. Inference and Serving</t>
        </is>
      </c>
      <c r="G217" s="10" t="n">
        <v>2022</v>
      </c>
      <c r="H217" s="10" t="inlineStr">
        <is>
          <t>Intermediate</t>
        </is>
      </c>
      <c r="I217" s="10" t="inlineStr">
        <is>
          <t>Established</t>
        </is>
      </c>
    </row>
    <row r="218">
      <c r="A218" s="10" t="n">
        <v>2024</v>
      </c>
      <c r="B218" s="10" t="inlineStr">
        <is>
          <t>Paper</t>
        </is>
      </c>
      <c r="C218" s="10" t="inlineStr">
        <is>
          <t>DistServe</t>
        </is>
      </c>
      <c r="D218" s="11" t="inlineStr">
        <is>
          <t>https://arxiv.org/abs/2401.09670</t>
        </is>
      </c>
      <c r="E218" s="10" t="inlineStr">
        <is>
          <t>Prefill/decode disaggregation</t>
        </is>
      </c>
      <c r="F218" s="10" t="inlineStr">
        <is>
          <t>09. Inference and Serving</t>
        </is>
      </c>
      <c r="G218" s="10" t="n">
        <v>2024</v>
      </c>
      <c r="H218" s="10" t="inlineStr">
        <is>
          <t>Advanced</t>
        </is>
      </c>
      <c r="I218" s="10" t="inlineStr">
        <is>
          <t>Active in 2026</t>
        </is>
      </c>
    </row>
    <row r="219">
      <c r="A219" s="10" t="n">
        <v>2025</v>
      </c>
      <c r="B219" s="10" t="inlineStr">
        <is>
          <t>GitHub</t>
        </is>
      </c>
      <c r="C219" s="10" t="inlineStr">
        <is>
          <t>NVIDIA Dynamo</t>
        </is>
      </c>
      <c r="D219" s="11" t="inlineStr">
        <is>
          <t>https://github.com/ai-dynamo/dynamo</t>
        </is>
      </c>
      <c r="E219" s="10" t="inlineStr">
        <is>
          <t>Prefill/decode disaggregation</t>
        </is>
      </c>
      <c r="F219" s="10" t="inlineStr">
        <is>
          <t>09. Inference and Serving</t>
        </is>
      </c>
      <c r="G219" s="10" t="n">
        <v>2024</v>
      </c>
      <c r="H219" s="10" t="inlineStr">
        <is>
          <t>Advanced</t>
        </is>
      </c>
      <c r="I219" s="10" t="inlineStr">
        <is>
          <t>Active in 2026</t>
        </is>
      </c>
    </row>
    <row r="220">
      <c r="A220" s="10" t="n">
        <v>2025</v>
      </c>
      <c r="B220" s="10" t="inlineStr">
        <is>
          <t>GitHub</t>
        </is>
      </c>
      <c r="C220" s="10" t="inlineStr">
        <is>
          <t>llm-d</t>
        </is>
      </c>
      <c r="D220" s="11" t="inlineStr">
        <is>
          <t>https://github.com/llm-d/llm-d</t>
        </is>
      </c>
      <c r="E220" s="10" t="inlineStr">
        <is>
          <t>Prefill/decode disaggregation</t>
        </is>
      </c>
      <c r="F220" s="10" t="inlineStr">
        <is>
          <t>09. Inference and Serving</t>
        </is>
      </c>
      <c r="G220" s="10" t="n">
        <v>2024</v>
      </c>
      <c r="H220" s="10" t="inlineStr">
        <is>
          <t>Advanced</t>
        </is>
      </c>
      <c r="I220" s="10" t="inlineStr">
        <is>
          <t>Active in 2026</t>
        </is>
      </c>
    </row>
    <row r="221">
      <c r="A221" s="10" t="n">
        <v>2024</v>
      </c>
      <c r="B221" s="10" t="inlineStr">
        <is>
          <t>GitHub</t>
        </is>
      </c>
      <c r="C221" s="10" t="inlineStr">
        <is>
          <t>Mooncake</t>
        </is>
      </c>
      <c r="D221" s="11" t="inlineStr">
        <is>
          <t>https://github.com/kvcache-ai/Mooncake</t>
        </is>
      </c>
      <c r="E221" s="10" t="inlineStr">
        <is>
          <t>Prefill/decode disaggregation</t>
        </is>
      </c>
      <c r="F221" s="10" t="inlineStr">
        <is>
          <t>09. Inference and Serving</t>
        </is>
      </c>
      <c r="G221" s="10" t="n">
        <v>2024</v>
      </c>
      <c r="H221" s="10" t="inlineStr">
        <is>
          <t>Advanced</t>
        </is>
      </c>
      <c r="I221" s="10" t="inlineStr">
        <is>
          <t>Active in 2026</t>
        </is>
      </c>
    </row>
    <row r="222">
      <c r="A222" s="10" t="n">
        <v>2024</v>
      </c>
      <c r="B222" s="10" t="inlineStr">
        <is>
          <t>GitHub</t>
        </is>
      </c>
      <c r="C222" s="10" t="inlineStr">
        <is>
          <t>LMCache</t>
        </is>
      </c>
      <c r="D222" s="11" t="inlineStr">
        <is>
          <t>https://github.com/LMCache/LMCache</t>
        </is>
      </c>
      <c r="E222" s="10" t="inlineStr">
        <is>
          <t>KV cache offloading</t>
        </is>
      </c>
      <c r="F222" s="10" t="inlineStr">
        <is>
          <t>09. Inference and Serving</t>
        </is>
      </c>
      <c r="G222" s="10" t="n">
        <v>2024</v>
      </c>
      <c r="H222" s="10" t="inlineStr">
        <is>
          <t>Advanced</t>
        </is>
      </c>
      <c r="I222" s="10" t="inlineStr">
        <is>
          <t>Active in 2026</t>
        </is>
      </c>
    </row>
    <row r="223">
      <c r="A223" s="10" t="n">
        <v>2022</v>
      </c>
      <c r="B223" s="10" t="inlineStr">
        <is>
          <t>GitHub</t>
        </is>
      </c>
      <c r="C223" s="10" t="inlineStr">
        <is>
          <t>FlashAttention</t>
        </is>
      </c>
      <c r="D223" s="11" t="inlineStr">
        <is>
          <t>https://github.com/Dao-AILab/flash-attention</t>
        </is>
      </c>
      <c r="E223" s="10" t="inlineStr">
        <is>
          <t>Attention kernels</t>
        </is>
      </c>
      <c r="F223" s="10" t="inlineStr">
        <is>
          <t>09. Inference and Serving</t>
        </is>
      </c>
      <c r="G223" s="10" t="n">
        <v>2022</v>
      </c>
      <c r="H223" s="10" t="inlineStr">
        <is>
          <t>Advanced</t>
        </is>
      </c>
      <c r="I223" s="10" t="inlineStr">
        <is>
          <t>Active in 2026</t>
        </is>
      </c>
    </row>
    <row r="224">
      <c r="A224" s="10" t="n">
        <v>2023</v>
      </c>
      <c r="B224" s="10" t="inlineStr">
        <is>
          <t>GitHub</t>
        </is>
      </c>
      <c r="C224" s="10" t="inlineStr">
        <is>
          <t>FlashInfer</t>
        </is>
      </c>
      <c r="D224" s="11" t="inlineStr">
        <is>
          <t>https://github.com/flashinfer-ai/flashinfer</t>
        </is>
      </c>
      <c r="E224" s="10" t="inlineStr">
        <is>
          <t>Attention kernels</t>
        </is>
      </c>
      <c r="F224" s="10" t="inlineStr">
        <is>
          <t>09. Inference and Serving</t>
        </is>
      </c>
      <c r="G224" s="10" t="n">
        <v>2022</v>
      </c>
      <c r="H224" s="10" t="inlineStr">
        <is>
          <t>Advanced</t>
        </is>
      </c>
      <c r="I224" s="10" t="inlineStr">
        <is>
          <t>Active in 2026</t>
        </is>
      </c>
    </row>
    <row r="225">
      <c r="A225" s="10" t="n">
        <v>2023</v>
      </c>
      <c r="B225" s="10" t="inlineStr">
        <is>
          <t>GitHub</t>
        </is>
      </c>
      <c r="C225" s="10" t="inlineStr">
        <is>
          <t>ExecuTorch</t>
        </is>
      </c>
      <c r="D225" s="11" t="inlineStr">
        <is>
          <t>https://github.com/pytorch/executorch</t>
        </is>
      </c>
      <c r="E225" s="10" t="inlineStr">
        <is>
          <t>On-device and edge inference</t>
        </is>
      </c>
      <c r="F225" s="10" t="inlineStr">
        <is>
          <t>09. Inference and Serving</t>
        </is>
      </c>
      <c r="G225" s="10" t="n">
        <v>2023</v>
      </c>
      <c r="H225" s="10" t="inlineStr">
        <is>
          <t>Beginner</t>
        </is>
      </c>
      <c r="I225" s="10" t="inlineStr">
        <is>
          <t>Active in 2026</t>
        </is>
      </c>
    </row>
    <row r="226">
      <c r="A226" s="10" t="n">
        <v>2018</v>
      </c>
      <c r="B226" s="10" t="inlineStr">
        <is>
          <t>GitHub</t>
        </is>
      </c>
      <c r="C226" s="10" t="inlineStr">
        <is>
          <t>ONNX Runtime</t>
        </is>
      </c>
      <c r="D226" s="11" t="inlineStr">
        <is>
          <t>https://github.com/microsoft/onnxruntime</t>
        </is>
      </c>
      <c r="E226" s="10" t="inlineStr">
        <is>
          <t>On-device and edge inference</t>
        </is>
      </c>
      <c r="F226" s="10" t="inlineStr">
        <is>
          <t>09. Inference and Serving</t>
        </is>
      </c>
      <c r="G226" s="10" t="n">
        <v>2023</v>
      </c>
      <c r="H226" s="10" t="inlineStr">
        <is>
          <t>Beginner</t>
        </is>
      </c>
      <c r="I226" s="10" t="inlineStr">
        <is>
          <t>Active in 2026</t>
        </is>
      </c>
    </row>
    <row r="227">
      <c r="A227" s="10" t="n">
        <v>2023</v>
      </c>
      <c r="B227" s="10" t="inlineStr">
        <is>
          <t>GitHub</t>
        </is>
      </c>
      <c r="C227" s="10" t="inlineStr">
        <is>
          <t>LiteLLM</t>
        </is>
      </c>
      <c r="D227" s="11" t="inlineStr">
        <is>
          <t>https://github.com/BerriAI/litellm</t>
        </is>
      </c>
      <c r="E227" s="10" t="inlineStr">
        <is>
          <t>LLM gateways and routers</t>
        </is>
      </c>
      <c r="F227" s="10" t="inlineStr">
        <is>
          <t>09. Inference and Serving</t>
        </is>
      </c>
      <c r="G227" s="10" t="n">
        <v>2023</v>
      </c>
      <c r="H227" s="10" t="inlineStr">
        <is>
          <t>Beginner</t>
        </is>
      </c>
      <c r="I227" s="10" t="inlineStr">
        <is>
          <t>Active in 2026</t>
        </is>
      </c>
    </row>
    <row r="228">
      <c r="A228" s="10" t="n">
        <v>2023</v>
      </c>
      <c r="B228" s="10" t="inlineStr">
        <is>
          <t>Docs</t>
        </is>
      </c>
      <c r="C228" s="10" t="inlineStr">
        <is>
          <t>OpenRouter</t>
        </is>
      </c>
      <c r="D228" s="11" t="inlineStr">
        <is>
          <t>https://openrouter.ai</t>
        </is>
      </c>
      <c r="E228" s="10" t="inlineStr">
        <is>
          <t>LLM gateways and routers</t>
        </is>
      </c>
      <c r="F228" s="10" t="inlineStr">
        <is>
          <t>09. Inference and Serving</t>
        </is>
      </c>
      <c r="G228" s="10" t="n">
        <v>2023</v>
      </c>
      <c r="H228" s="10" t="inlineStr">
        <is>
          <t>Beginner</t>
        </is>
      </c>
      <c r="I228" s="10" t="inlineStr">
        <is>
          <t>Active in 2026</t>
        </is>
      </c>
    </row>
    <row r="229">
      <c r="A229" s="10" t="n">
        <v>2025</v>
      </c>
      <c r="B229" s="10" t="inlineStr">
        <is>
          <t>GitHub</t>
        </is>
      </c>
      <c r="C229" s="10" t="inlineStr">
        <is>
          <t>InferenceMAX</t>
        </is>
      </c>
      <c r="D229" s="11" t="inlineStr">
        <is>
          <t>https://github.com/InferenceMAX/InferenceMAX</t>
        </is>
      </c>
      <c r="E229" s="10" t="inlineStr">
        <is>
          <t>Inference benchmarking</t>
        </is>
      </c>
      <c r="F229" s="10" t="inlineStr">
        <is>
          <t>09. Inference and Serving</t>
        </is>
      </c>
      <c r="G229" s="10" t="n">
        <v>2025</v>
      </c>
      <c r="H229" s="10" t="inlineStr">
        <is>
          <t>Intermediate</t>
        </is>
      </c>
      <c r="I229" s="10" t="inlineStr">
        <is>
          <t>Active in 2026</t>
        </is>
      </c>
    </row>
    <row r="230">
      <c r="A230" s="10" t="n">
        <v>2024</v>
      </c>
      <c r="B230" s="10" t="inlineStr">
        <is>
          <t>Docs</t>
        </is>
      </c>
      <c r="C230" s="10" t="inlineStr">
        <is>
          <t>Artificial Analysis</t>
        </is>
      </c>
      <c r="D230" s="11" t="inlineStr">
        <is>
          <t>https://artificialanalysis.ai</t>
        </is>
      </c>
      <c r="E230" s="10" t="inlineStr">
        <is>
          <t>Inference benchmarking</t>
        </is>
      </c>
      <c r="F230" s="10" t="inlineStr">
        <is>
          <t>09. Inference and Serving</t>
        </is>
      </c>
      <c r="G230" s="10" t="n">
        <v>2025</v>
      </c>
      <c r="H230" s="10" t="inlineStr">
        <is>
          <t>Intermediate</t>
        </is>
      </c>
      <c r="I230" s="10" t="inlineStr">
        <is>
          <t>Active in 2026</t>
        </is>
      </c>
    </row>
    <row r="231">
      <c r="A231" s="10" t="n">
        <v>2023</v>
      </c>
      <c r="B231" s="10" t="inlineStr">
        <is>
          <t>Spec</t>
        </is>
      </c>
      <c r="C231" s="10" t="inlineStr">
        <is>
          <t>OCP Microscaling (MX) spec</t>
        </is>
      </c>
      <c r="D231" s="11" t="inlineStr">
        <is>
          <t>https://www.opencompute.org/documents/ocp-microscaling-formats-mx-v1-0-spec-final-pdf</t>
        </is>
      </c>
      <c r="E231" s="10" t="inlineStr">
        <is>
          <t>Microscaling formats</t>
        </is>
      </c>
      <c r="F231" s="10" t="inlineStr">
        <is>
          <t>10. Quantization and Number Formats</t>
        </is>
      </c>
      <c r="G231" s="10" t="n">
        <v>2023</v>
      </c>
      <c r="H231" s="10" t="inlineStr">
        <is>
          <t>Advanced</t>
        </is>
      </c>
      <c r="I231" s="10" t="inlineStr">
        <is>
          <t>Active in 2026</t>
        </is>
      </c>
    </row>
    <row r="232">
      <c r="A232" s="10" t="n">
        <v>2023</v>
      </c>
      <c r="B232" s="10" t="inlineStr">
        <is>
          <t>Paper</t>
        </is>
      </c>
      <c r="C232" s="10" t="inlineStr">
        <is>
          <t>Microscaling data formats</t>
        </is>
      </c>
      <c r="D232" s="11" t="inlineStr">
        <is>
          <t>https://arxiv.org/abs/2310.10537</t>
        </is>
      </c>
      <c r="E232" s="10" t="inlineStr">
        <is>
          <t>Microscaling formats</t>
        </is>
      </c>
      <c r="F232" s="10" t="inlineStr">
        <is>
          <t>10. Quantization and Number Formats</t>
        </is>
      </c>
      <c r="G232" s="10" t="n">
        <v>2023</v>
      </c>
      <c r="H232" s="10" t="inlineStr">
        <is>
          <t>Advanced</t>
        </is>
      </c>
      <c r="I232" s="10" t="inlineStr">
        <is>
          <t>Active in 2026</t>
        </is>
      </c>
    </row>
    <row r="233">
      <c r="A233" s="10" t="n">
        <v>2025</v>
      </c>
      <c r="B233" s="10" t="inlineStr">
        <is>
          <t>GitHub</t>
        </is>
      </c>
      <c r="C233" s="10" t="inlineStr">
        <is>
          <t>openai/gpt-oss (MXFP4)</t>
        </is>
      </c>
      <c r="D233" s="11" t="inlineStr">
        <is>
          <t>https://github.com/openai/gpt-oss</t>
        </is>
      </c>
      <c r="E233" s="10" t="inlineStr">
        <is>
          <t>Microscaling formats</t>
        </is>
      </c>
      <c r="F233" s="10" t="inlineStr">
        <is>
          <t>10. Quantization and Number Formats</t>
        </is>
      </c>
      <c r="G233" s="10" t="n">
        <v>2023</v>
      </c>
      <c r="H233" s="10" t="inlineStr">
        <is>
          <t>Advanced</t>
        </is>
      </c>
      <c r="I233" s="10" t="inlineStr">
        <is>
          <t>Active in 2026</t>
        </is>
      </c>
    </row>
    <row r="234">
      <c r="A234" s="10" t="n">
        <v>2025</v>
      </c>
      <c r="B234" s="10" t="inlineStr">
        <is>
          <t>Blog</t>
        </is>
      </c>
      <c r="C234" s="10" t="inlineStr">
        <is>
          <t>NVIDIA: Introducing NVFP4</t>
        </is>
      </c>
      <c r="D234" s="11" t="inlineStr">
        <is>
          <t>https://developer.nvidia.com/blog/introducing-nvfp4-for-efficient-and-accurate-low-precision-inference/</t>
        </is>
      </c>
      <c r="E234" s="10" t="inlineStr">
        <is>
          <t>NVFP4</t>
        </is>
      </c>
      <c r="F234" s="10" t="inlineStr">
        <is>
          <t>10. Quantization and Number Formats</t>
        </is>
      </c>
      <c r="G234" s="10" t="n">
        <v>2025</v>
      </c>
      <c r="H234" s="10" t="inlineStr">
        <is>
          <t>Advanced</t>
        </is>
      </c>
      <c r="I234" s="10" t="inlineStr">
        <is>
          <t>Active in 2026</t>
        </is>
      </c>
    </row>
    <row r="235">
      <c r="A235" s="10" t="n">
        <v>2022</v>
      </c>
      <c r="B235" s="10" t="inlineStr">
        <is>
          <t>Paper</t>
        </is>
      </c>
      <c r="C235" s="10" t="inlineStr">
        <is>
          <t>FP8 formats for deep learning</t>
        </is>
      </c>
      <c r="D235" s="11" t="inlineStr">
        <is>
          <t>https://arxiv.org/abs/2209.05433</t>
        </is>
      </c>
      <c r="E235" s="10" t="inlineStr">
        <is>
          <t>FP8 training and inference</t>
        </is>
      </c>
      <c r="F235" s="10" t="inlineStr">
        <is>
          <t>10. Quantization and Number Formats</t>
        </is>
      </c>
      <c r="G235" s="10" t="n">
        <v>2022</v>
      </c>
      <c r="H235" s="10" t="inlineStr">
        <is>
          <t>Intermediate</t>
        </is>
      </c>
      <c r="I235" s="10" t="inlineStr">
        <is>
          <t>Active in 2026</t>
        </is>
      </c>
    </row>
    <row r="236">
      <c r="A236" s="10" t="n">
        <v>2022</v>
      </c>
      <c r="B236" s="10" t="inlineStr">
        <is>
          <t>Paper</t>
        </is>
      </c>
      <c r="C236" s="10" t="inlineStr">
        <is>
          <t>GPTQ</t>
        </is>
      </c>
      <c r="D236" s="11" t="inlineStr">
        <is>
          <t>https://arxiv.org/abs/2210.17323</t>
        </is>
      </c>
      <c r="E236" s="10" t="inlineStr">
        <is>
          <t>Post-training quantization</t>
        </is>
      </c>
      <c r="F236" s="10" t="inlineStr">
        <is>
          <t>10. Quantization and Number Formats</t>
        </is>
      </c>
      <c r="G236" s="10" t="n">
        <v>2022</v>
      </c>
      <c r="H236" s="10" t="inlineStr">
        <is>
          <t>Intermediate</t>
        </is>
      </c>
      <c r="I236" s="10" t="inlineStr">
        <is>
          <t>Established</t>
        </is>
      </c>
    </row>
    <row r="237">
      <c r="A237" s="10" t="n">
        <v>2023</v>
      </c>
      <c r="B237" s="10" t="inlineStr">
        <is>
          <t>GitHub</t>
        </is>
      </c>
      <c r="C237" s="10" t="inlineStr">
        <is>
          <t>AWQ</t>
        </is>
      </c>
      <c r="D237" s="11" t="inlineStr">
        <is>
          <t>https://github.com/mit-han-lab/llm-awq</t>
        </is>
      </c>
      <c r="E237" s="10" t="inlineStr">
        <is>
          <t>Post-training quantization</t>
        </is>
      </c>
      <c r="F237" s="10" t="inlineStr">
        <is>
          <t>10. Quantization and Number Formats</t>
        </is>
      </c>
      <c r="G237" s="10" t="n">
        <v>2022</v>
      </c>
      <c r="H237" s="10" t="inlineStr">
        <is>
          <t>Intermediate</t>
        </is>
      </c>
      <c r="I237" s="10" t="inlineStr">
        <is>
          <t>Established</t>
        </is>
      </c>
    </row>
    <row r="238">
      <c r="A238" s="10" t="n">
        <v>2024</v>
      </c>
      <c r="B238" s="10" t="inlineStr">
        <is>
          <t>GitHub</t>
        </is>
      </c>
      <c r="C238" s="10" t="inlineStr">
        <is>
          <t>llm-compressor</t>
        </is>
      </c>
      <c r="D238" s="11" t="inlineStr">
        <is>
          <t>https://github.com/vllm-project/llm-compressor</t>
        </is>
      </c>
      <c r="E238" s="10" t="inlineStr">
        <is>
          <t>Post-training quantization</t>
        </is>
      </c>
      <c r="F238" s="10" t="inlineStr">
        <is>
          <t>10. Quantization and Number Formats</t>
        </is>
      </c>
      <c r="G238" s="10" t="n">
        <v>2022</v>
      </c>
      <c r="H238" s="10" t="inlineStr">
        <is>
          <t>Intermediate</t>
        </is>
      </c>
      <c r="I238" s="10" t="inlineStr">
        <is>
          <t>Established</t>
        </is>
      </c>
    </row>
    <row r="239">
      <c r="A239" s="10" t="n">
        <v>2023</v>
      </c>
      <c r="B239" s="10" t="inlineStr">
        <is>
          <t>GitHub</t>
        </is>
      </c>
      <c r="C239" s="10" t="inlineStr">
        <is>
          <t>torchao</t>
        </is>
      </c>
      <c r="D239" s="11" t="inlineStr">
        <is>
          <t>https://github.com/pytorch/ao</t>
        </is>
      </c>
      <c r="E239" s="10" t="inlineStr">
        <is>
          <t>Quantization-aware training</t>
        </is>
      </c>
      <c r="F239" s="10" t="inlineStr">
        <is>
          <t>10. Quantization and Number Formats</t>
        </is>
      </c>
      <c r="G239" s="10" t="n">
        <v>2024</v>
      </c>
      <c r="H239" s="10" t="inlineStr">
        <is>
          <t>Advanced</t>
        </is>
      </c>
      <c r="I239" s="10" t="inlineStr">
        <is>
          <t>Active in 2026</t>
        </is>
      </c>
    </row>
    <row r="240">
      <c r="A240" s="10" t="n">
        <v>2023</v>
      </c>
      <c r="B240" s="10" t="inlineStr">
        <is>
          <t>Spec</t>
        </is>
      </c>
      <c r="C240" s="10" t="inlineStr">
        <is>
          <t>GGUF specification</t>
        </is>
      </c>
      <c r="D240" s="11" t="inlineStr">
        <is>
          <t>https://github.com/ggml-org/ggml/blob/master/docs/gguf.md</t>
        </is>
      </c>
      <c r="E240" s="10" t="inlineStr">
        <is>
          <t>GGUF and local model formats</t>
        </is>
      </c>
      <c r="F240" s="10" t="inlineStr">
        <is>
          <t>10. Quantization and Number Formats</t>
        </is>
      </c>
      <c r="G240" s="10" t="n">
        <v>2023</v>
      </c>
      <c r="H240" s="10" t="inlineStr">
        <is>
          <t>Beginner</t>
        </is>
      </c>
      <c r="I240" s="10" t="inlineStr">
        <is>
          <t>Active in 2026</t>
        </is>
      </c>
    </row>
    <row r="241">
      <c r="A241" s="10" t="n">
        <v>2021</v>
      </c>
      <c r="B241" s="10" t="inlineStr">
        <is>
          <t>GitHub</t>
        </is>
      </c>
      <c r="C241" s="10" t="inlineStr">
        <is>
          <t>bitsandbytes</t>
        </is>
      </c>
      <c r="D241" s="11" t="inlineStr">
        <is>
          <t>https://github.com/bitsandbytes-foundation/bitsandbytes</t>
        </is>
      </c>
      <c r="E241" s="10" t="inlineStr">
        <is>
          <t>GGUF and local model formats</t>
        </is>
      </c>
      <c r="F241" s="10" t="inlineStr">
        <is>
          <t>10. Quantization and Number Formats</t>
        </is>
      </c>
      <c r="G241" s="10" t="n">
        <v>2023</v>
      </c>
      <c r="H241" s="10" t="inlineStr">
        <is>
          <t>Beginner</t>
        </is>
      </c>
      <c r="I241" s="10" t="inlineStr">
        <is>
          <t>Active in 2026</t>
        </is>
      </c>
    </row>
    <row r="242">
      <c r="A242" s="10" t="n">
        <v>2024</v>
      </c>
      <c r="B242" s="10" t="inlineStr">
        <is>
          <t>GitHub</t>
        </is>
      </c>
      <c r="C242" s="10" t="inlineStr">
        <is>
          <t>Microsoft BitNet</t>
        </is>
      </c>
      <c r="D242" s="11" t="inlineStr">
        <is>
          <t>https://github.com/microsoft/BitNet</t>
        </is>
      </c>
      <c r="E242" s="10" t="inlineStr">
        <is>
          <t>Ternary and 1-bit models</t>
        </is>
      </c>
      <c r="F242" s="10" t="inlineStr">
        <is>
          <t>10. Quantization and Number Formats</t>
        </is>
      </c>
      <c r="G242" s="10" t="n">
        <v>2024</v>
      </c>
      <c r="H242" s="10" t="inlineStr">
        <is>
          <t>Advanced</t>
        </is>
      </c>
      <c r="I242" s="10" t="inlineStr">
        <is>
          <t>Established</t>
        </is>
      </c>
    </row>
    <row r="243">
      <c r="A243" s="10" t="n">
        <v>2024</v>
      </c>
      <c r="B243" s="10" t="inlineStr">
        <is>
          <t>Docs</t>
        </is>
      </c>
      <c r="C243" s="10" t="inlineStr">
        <is>
          <t>NVIDIA GB200 NVL72</t>
        </is>
      </c>
      <c r="D243" s="11" t="inlineStr">
        <is>
          <t>https://www.nvidia.com/en-us/data-center/gb200-nvl72/</t>
        </is>
      </c>
      <c r="E243" s="10" t="inlineStr">
        <is>
          <t>Rack-scale systems</t>
        </is>
      </c>
      <c r="F243" s="10" t="inlineStr">
        <is>
          <t>11. AI Hardware, Interconnect and Datacenter Standards</t>
        </is>
      </c>
      <c r="G243" s="10" t="n">
        <v>2024</v>
      </c>
      <c r="H243" s="10" t="inlineStr">
        <is>
          <t>Intermediate</t>
        </is>
      </c>
      <c r="I243" s="10" t="inlineStr">
        <is>
          <t>Active in 2026</t>
        </is>
      </c>
    </row>
    <row r="244">
      <c r="A244" s="10" t="n">
        <v>2026</v>
      </c>
      <c r="B244" s="10" t="inlineStr">
        <is>
          <t>Blog</t>
        </is>
      </c>
      <c r="C244" s="10" t="inlineStr">
        <is>
          <t>ServeTheHome: Rubin platform at CES 2026</t>
        </is>
      </c>
      <c r="D244" s="11" t="inlineStr">
        <is>
          <t>https://www.servethehome.com/nvidia-launches-next-generation-rubin-ai-compute-platform-at-ces-2026/</t>
        </is>
      </c>
      <c r="E244" s="10" t="inlineStr">
        <is>
          <t>Rack-scale systems</t>
        </is>
      </c>
      <c r="F244" s="10" t="inlineStr">
        <is>
          <t>11. AI Hardware, Interconnect and Datacenter Standards</t>
        </is>
      </c>
      <c r="G244" s="10" t="n">
        <v>2024</v>
      </c>
      <c r="H244" s="10" t="inlineStr">
        <is>
          <t>Intermediate</t>
        </is>
      </c>
      <c r="I244" s="10" t="inlineStr">
        <is>
          <t>Active in 2026</t>
        </is>
      </c>
    </row>
    <row r="245">
      <c r="A245" s="10" t="n">
        <v>2026</v>
      </c>
      <c r="B245" s="10" t="inlineStr">
        <is>
          <t>Blog</t>
        </is>
      </c>
      <c r="C245" s="10" t="inlineStr">
        <is>
          <t>DCD: Vera Rubin superchip</t>
        </is>
      </c>
      <c r="D245" s="11" t="inlineStr">
        <is>
          <t>https://www.datacenterdynamics.com/en/news/nvidia-announces-vera-rubin-superchip-for-late-2026/</t>
        </is>
      </c>
      <c r="E245" s="10" t="inlineStr">
        <is>
          <t>Rack-scale systems</t>
        </is>
      </c>
      <c r="F245" s="10" t="inlineStr">
        <is>
          <t>11. AI Hardware, Interconnect and Datacenter Standards</t>
        </is>
      </c>
      <c r="G245" s="10" t="n">
        <v>2024</v>
      </c>
      <c r="H245" s="10" t="inlineStr">
        <is>
          <t>Intermediate</t>
        </is>
      </c>
      <c r="I245" s="10" t="inlineStr">
        <is>
          <t>Active in 2026</t>
        </is>
      </c>
    </row>
    <row r="246">
      <c r="A246" s="10" t="n">
        <v>2023</v>
      </c>
      <c r="B246" s="10" t="inlineStr">
        <is>
          <t>Docs</t>
        </is>
      </c>
      <c r="C246" s="10" t="inlineStr">
        <is>
          <t>AMD Instinct</t>
        </is>
      </c>
      <c r="D246" s="11" t="inlineStr">
        <is>
          <t>https://www.amd.com/en/products/accelerators/instinct.html</t>
        </is>
      </c>
      <c r="E246" s="10" t="inlineStr">
        <is>
          <t>AMD Helios and Open Rack Wide</t>
        </is>
      </c>
      <c r="F246" s="10" t="inlineStr">
        <is>
          <t>11. AI Hardware, Interconnect and Datacenter Standards</t>
        </is>
      </c>
      <c r="G246" s="10" t="n">
        <v>2026</v>
      </c>
      <c r="H246" s="10" t="inlineStr">
        <is>
          <t>Intermediate</t>
        </is>
      </c>
      <c r="I246" s="10" t="inlineStr">
        <is>
          <t>New in 2026</t>
        </is>
      </c>
    </row>
    <row r="247">
      <c r="A247" s="10" t="n">
        <v>2026</v>
      </c>
      <c r="B247" s="10" t="inlineStr">
        <is>
          <t>Blog</t>
        </is>
      </c>
      <c r="C247" s="10" t="inlineStr">
        <is>
          <t>GPU Insights: Rubin vs Helios</t>
        </is>
      </c>
      <c r="D247" s="11" t="inlineStr">
        <is>
          <t>https://gpuinsights.net/nvidia-rubin-vs-amd-helios-mi450-2026/</t>
        </is>
      </c>
      <c r="E247" s="10" t="inlineStr">
        <is>
          <t>AMD Helios and Open Rack Wide</t>
        </is>
      </c>
      <c r="F247" s="10" t="inlineStr">
        <is>
          <t>11. AI Hardware, Interconnect and Datacenter Standards</t>
        </is>
      </c>
      <c r="G247" s="10" t="n">
        <v>2026</v>
      </c>
      <c r="H247" s="10" t="inlineStr">
        <is>
          <t>Intermediate</t>
        </is>
      </c>
      <c r="I247" s="10" t="inlineStr">
        <is>
          <t>New in 2026</t>
        </is>
      </c>
    </row>
    <row r="248">
      <c r="A248" s="10" t="n">
        <v>2026</v>
      </c>
      <c r="B248" s="10" t="inlineStr">
        <is>
          <t>Blog</t>
        </is>
      </c>
      <c r="C248" s="10" t="inlineStr">
        <is>
          <t>Synopsys: Ethernet standards for scale-up AI</t>
        </is>
      </c>
      <c r="D248" s="11" t="inlineStr">
        <is>
          <t>https://www.synopsys.com/articles/ethernet-standards-scale-up-ai.html</t>
        </is>
      </c>
      <c r="E248" s="10" t="inlineStr">
        <is>
          <t>Scale-up vs. scale-out networking</t>
        </is>
      </c>
      <c r="F248" s="10" t="inlineStr">
        <is>
          <t>11. AI Hardware, Interconnect and Datacenter Standards</t>
        </is>
      </c>
      <c r="G248" s="10" t="n">
        <v>2024</v>
      </c>
      <c r="H248" s="10" t="inlineStr">
        <is>
          <t>Intermediate</t>
        </is>
      </c>
      <c r="I248" s="10" t="inlineStr">
        <is>
          <t>Active in 2026</t>
        </is>
      </c>
    </row>
    <row r="249">
      <c r="A249" s="10" t="n">
        <v>2024</v>
      </c>
      <c r="B249" s="10" t="inlineStr">
        <is>
          <t>Spec</t>
        </is>
      </c>
      <c r="C249" s="10" t="inlineStr">
        <is>
          <t>UALink Consortium</t>
        </is>
      </c>
      <c r="D249" s="11" t="inlineStr">
        <is>
          <t>https://ualinkconsortium.org</t>
        </is>
      </c>
      <c r="E249" s="10" t="inlineStr">
        <is>
          <t>UALink</t>
        </is>
      </c>
      <c r="F249" s="10" t="inlineStr">
        <is>
          <t>11. AI Hardware, Interconnect and Datacenter Standards</t>
        </is>
      </c>
      <c r="G249" s="10" t="n">
        <v>2024</v>
      </c>
      <c r="H249" s="10" t="inlineStr">
        <is>
          <t>Intermediate</t>
        </is>
      </c>
      <c r="I249" s="10" t="inlineStr">
        <is>
          <t>Active in 2026</t>
        </is>
      </c>
    </row>
    <row r="250">
      <c r="A250" s="10" t="n">
        <v>2024</v>
      </c>
      <c r="B250" s="10" t="inlineStr">
        <is>
          <t>Docs</t>
        </is>
      </c>
      <c r="C250" s="10" t="inlineStr">
        <is>
          <t>UALink overview</t>
        </is>
      </c>
      <c r="D250" s="11" t="inlineStr">
        <is>
          <t>https://en.wikipedia.org/wiki/UALink</t>
        </is>
      </c>
      <c r="E250" s="10" t="inlineStr">
        <is>
          <t>UALink</t>
        </is>
      </c>
      <c r="F250" s="10" t="inlineStr">
        <is>
          <t>11. AI Hardware, Interconnect and Datacenter Standards</t>
        </is>
      </c>
      <c r="G250" s="10" t="n">
        <v>2024</v>
      </c>
      <c r="H250" s="10" t="inlineStr">
        <is>
          <t>Intermediate</t>
        </is>
      </c>
      <c r="I250" s="10" t="inlineStr">
        <is>
          <t>Active in 2026</t>
        </is>
      </c>
    </row>
    <row r="251">
      <c r="A251" s="10" t="n">
        <v>2026</v>
      </c>
      <c r="B251" s="10" t="inlineStr">
        <is>
          <t>Blog</t>
        </is>
      </c>
      <c r="C251" s="10" t="inlineStr">
        <is>
          <t>UALink white paper (2026)</t>
        </is>
      </c>
      <c r="D251" s="11" t="inlineStr">
        <is>
          <t>https://ualinkconsortium.org/wp-content/uploads/2026/01/UALink_White_Paper_Publication_Candidate_FINAL_VERSION.pdf</t>
        </is>
      </c>
      <c r="E251" s="10" t="inlineStr">
        <is>
          <t>UALink</t>
        </is>
      </c>
      <c r="F251" s="10" t="inlineStr">
        <is>
          <t>11. AI Hardware, Interconnect and Datacenter Standards</t>
        </is>
      </c>
      <c r="G251" s="10" t="n">
        <v>2024</v>
      </c>
      <c r="H251" s="10" t="inlineStr">
        <is>
          <t>Intermediate</t>
        </is>
      </c>
      <c r="I251" s="10" t="inlineStr">
        <is>
          <t>Active in 2026</t>
        </is>
      </c>
    </row>
    <row r="252">
      <c r="A252" s="10" t="n">
        <v>2025</v>
      </c>
      <c r="B252" s="10" t="inlineStr">
        <is>
          <t>Blog</t>
        </is>
      </c>
      <c r="C252" s="10" t="inlineStr">
        <is>
          <t>Arista: The sun rises on scale-up Ethernet</t>
        </is>
      </c>
      <c r="D252" s="11" t="inlineStr">
        <is>
          <t>https://blogs.arista.com/blog/the-sun-rises-on-scale-up-ethernet</t>
        </is>
      </c>
      <c r="E252" s="10" t="inlineStr">
        <is>
          <t>ESUN and SUE</t>
        </is>
      </c>
      <c r="F252" s="10" t="inlineStr">
        <is>
          <t>11. AI Hardware, Interconnect and Datacenter Standards</t>
        </is>
      </c>
      <c r="G252" s="10" t="n">
        <v>2025</v>
      </c>
      <c r="H252" s="10" t="inlineStr">
        <is>
          <t>Advanced</t>
        </is>
      </c>
      <c r="I252" s="10" t="inlineStr">
        <is>
          <t>Active in 2026</t>
        </is>
      </c>
    </row>
    <row r="253">
      <c r="A253" s="10" t="n">
        <v>2026</v>
      </c>
      <c r="B253" s="10" t="inlineStr">
        <is>
          <t>Blog</t>
        </is>
      </c>
      <c r="C253" s="10" t="inlineStr">
        <is>
          <t>Synopsys: ESUN explained</t>
        </is>
      </c>
      <c r="D253" s="11" t="inlineStr">
        <is>
          <t>https://www.synopsys.com/blogs/chip-design/esun-ethernet-ai-scale-up-networking.html</t>
        </is>
      </c>
      <c r="E253" s="10" t="inlineStr">
        <is>
          <t>ESUN and SUE</t>
        </is>
      </c>
      <c r="F253" s="10" t="inlineStr">
        <is>
          <t>11. AI Hardware, Interconnect and Datacenter Standards</t>
        </is>
      </c>
      <c r="G253" s="10" t="n">
        <v>2025</v>
      </c>
      <c r="H253" s="10" t="inlineStr">
        <is>
          <t>Advanced</t>
        </is>
      </c>
      <c r="I253" s="10" t="inlineStr">
        <is>
          <t>Active in 2026</t>
        </is>
      </c>
    </row>
    <row r="254">
      <c r="A254" s="10" t="n">
        <v>2026</v>
      </c>
      <c r="B254" s="10" t="inlineStr">
        <is>
          <t>Blog</t>
        </is>
      </c>
      <c r="C254" s="10" t="inlineStr">
        <is>
          <t>650 Group: Ethernet in scale-up</t>
        </is>
      </c>
      <c r="D254" s="11" t="inlineStr">
        <is>
          <t>https://650group.com/blog/in-the-ai-era-ethernet-set-to-surge-in-scale-out-and-ramp-in-scale-up/</t>
        </is>
      </c>
      <c r="E254" s="10" t="inlineStr">
        <is>
          <t>ESUN and SUE</t>
        </is>
      </c>
      <c r="F254" s="10" t="inlineStr">
        <is>
          <t>11. AI Hardware, Interconnect and Datacenter Standards</t>
        </is>
      </c>
      <c r="G254" s="10" t="n">
        <v>2025</v>
      </c>
      <c r="H254" s="10" t="inlineStr">
        <is>
          <t>Advanced</t>
        </is>
      </c>
      <c r="I254" s="10" t="inlineStr">
        <is>
          <t>Active in 2026</t>
        </is>
      </c>
    </row>
    <row r="255">
      <c r="A255" s="10" t="n">
        <v>2023</v>
      </c>
      <c r="B255" s="10" t="inlineStr">
        <is>
          <t>Spec</t>
        </is>
      </c>
      <c r="C255" s="10" t="inlineStr">
        <is>
          <t>Ultra Ethernet Consortium</t>
        </is>
      </c>
      <c r="D255" s="11" t="inlineStr">
        <is>
          <t>https://ultraethernet.org</t>
        </is>
      </c>
      <c r="E255" s="10" t="inlineStr">
        <is>
          <t>Ultra Ethernet</t>
        </is>
      </c>
      <c r="F255" s="10" t="inlineStr">
        <is>
          <t>11. AI Hardware, Interconnect and Datacenter Standards</t>
        </is>
      </c>
      <c r="G255" s="10" t="n">
        <v>2023</v>
      </c>
      <c r="H255" s="10" t="inlineStr">
        <is>
          <t>Advanced</t>
        </is>
      </c>
      <c r="I255" s="10" t="inlineStr">
        <is>
          <t>Active in 2026</t>
        </is>
      </c>
    </row>
    <row r="256">
      <c r="A256" s="10" t="n">
        <v>2025</v>
      </c>
      <c r="B256" s="10" t="inlineStr">
        <is>
          <t>Docs</t>
        </is>
      </c>
      <c r="C256" s="10" t="inlineStr">
        <is>
          <t>NVLink Fusion</t>
        </is>
      </c>
      <c r="D256" s="11" t="inlineStr">
        <is>
          <t>https://www.nvidia.com/en-us/data-center/nvlink-fusion/</t>
        </is>
      </c>
      <c r="E256" s="10" t="inlineStr">
        <is>
          <t>NVLink and NVLink Fusion</t>
        </is>
      </c>
      <c r="F256" s="10" t="inlineStr">
        <is>
          <t>11. AI Hardware, Interconnect and Datacenter Standards</t>
        </is>
      </c>
      <c r="G256" s="10" t="n">
        <v>2016</v>
      </c>
      <c r="H256" s="10" t="inlineStr">
        <is>
          <t>Intermediate</t>
        </is>
      </c>
      <c r="I256" s="10" t="inlineStr">
        <is>
          <t>Active in 2026</t>
        </is>
      </c>
    </row>
    <row r="257">
      <c r="A257" s="10" t="n">
        <v>2019</v>
      </c>
      <c r="B257" s="10" t="inlineStr">
        <is>
          <t>Spec</t>
        </is>
      </c>
      <c r="C257" s="10" t="inlineStr">
        <is>
          <t>CXL Consortium</t>
        </is>
      </c>
      <c r="D257" s="11" t="inlineStr">
        <is>
          <t>https://computeexpresslink.org</t>
        </is>
      </c>
      <c r="E257" s="10" t="inlineStr">
        <is>
          <t>CXL, PCIe and UCIe</t>
        </is>
      </c>
      <c r="F257" s="10" t="inlineStr">
        <is>
          <t>11. AI Hardware, Interconnect and Datacenter Standards</t>
        </is>
      </c>
      <c r="G257" s="10" t="n">
        <v>2019</v>
      </c>
      <c r="H257" s="10" t="inlineStr">
        <is>
          <t>Advanced</t>
        </is>
      </c>
      <c r="I257" s="10" t="inlineStr">
        <is>
          <t>Active in 2026</t>
        </is>
      </c>
    </row>
    <row r="258">
      <c r="A258" s="10" t="n">
        <v>1992</v>
      </c>
      <c r="B258" s="10" t="inlineStr">
        <is>
          <t>Spec</t>
        </is>
      </c>
      <c r="C258" s="10" t="inlineStr">
        <is>
          <t>PCI-SIG</t>
        </is>
      </c>
      <c r="D258" s="11" t="inlineStr">
        <is>
          <t>https://pcisig.com</t>
        </is>
      </c>
      <c r="E258" s="10" t="inlineStr">
        <is>
          <t>CXL, PCIe and UCIe</t>
        </is>
      </c>
      <c r="F258" s="10" t="inlineStr">
        <is>
          <t>11. AI Hardware, Interconnect and Datacenter Standards</t>
        </is>
      </c>
      <c r="G258" s="10" t="n">
        <v>2019</v>
      </c>
      <c r="H258" s="10" t="inlineStr">
        <is>
          <t>Advanced</t>
        </is>
      </c>
      <c r="I258" s="10" t="inlineStr">
        <is>
          <t>Active in 2026</t>
        </is>
      </c>
    </row>
    <row r="259">
      <c r="A259" s="10" t="n">
        <v>2022</v>
      </c>
      <c r="B259" s="10" t="inlineStr">
        <is>
          <t>Spec</t>
        </is>
      </c>
      <c r="C259" s="10" t="inlineStr">
        <is>
          <t>UCIe</t>
        </is>
      </c>
      <c r="D259" s="11" t="inlineStr">
        <is>
          <t>https://www.uciexpress.org</t>
        </is>
      </c>
      <c r="E259" s="10" t="inlineStr">
        <is>
          <t>CXL, PCIe and UCIe</t>
        </is>
      </c>
      <c r="F259" s="10" t="inlineStr">
        <is>
          <t>11. AI Hardware, Interconnect and Datacenter Standards</t>
        </is>
      </c>
      <c r="G259" s="10" t="n">
        <v>2019</v>
      </c>
      <c r="H259" s="10" t="inlineStr">
        <is>
          <t>Advanced</t>
        </is>
      </c>
      <c r="I259" s="10" t="inlineStr">
        <is>
          <t>Active in 2026</t>
        </is>
      </c>
    </row>
    <row r="260">
      <c r="A260" s="10" t="n">
        <v>2013</v>
      </c>
      <c r="B260" s="10" t="inlineStr">
        <is>
          <t>Docs</t>
        </is>
      </c>
      <c r="C260" s="10" t="inlineStr">
        <is>
          <t>High Bandwidth Memory overview</t>
        </is>
      </c>
      <c r="D260" s="11" t="inlineStr">
        <is>
          <t>https://en.wikipedia.org/wiki/High_Bandwidth_Memory</t>
        </is>
      </c>
      <c r="E260" s="10" t="inlineStr">
        <is>
          <t>High-bandwidth memory</t>
        </is>
      </c>
      <c r="F260" s="10" t="inlineStr">
        <is>
          <t>11. AI Hardware, Interconnect and Datacenter Standards</t>
        </is>
      </c>
      <c r="G260" s="10" t="n">
        <v>2013</v>
      </c>
      <c r="H260" s="10" t="inlineStr">
        <is>
          <t>Intermediate</t>
        </is>
      </c>
      <c r="I260" s="10" t="inlineStr">
        <is>
          <t>Active in 2026</t>
        </is>
      </c>
    </row>
    <row r="261">
      <c r="A261" s="10" t="n">
        <v>2012</v>
      </c>
      <c r="B261" s="10" t="inlineStr">
        <is>
          <t>Docs</t>
        </is>
      </c>
      <c r="C261" s="10" t="inlineStr">
        <is>
          <t>TSMC CoWoS</t>
        </is>
      </c>
      <c r="D261" s="11" t="inlineStr">
        <is>
          <t>https://3dfabric.tsmc.com/english/dedicatedFoundry/technology/cowos.htm</t>
        </is>
      </c>
      <c r="E261" s="10" t="inlineStr">
        <is>
          <t>Advanced packaging</t>
        </is>
      </c>
      <c r="F261" s="10" t="inlineStr">
        <is>
          <t>11. AI Hardware, Interconnect and Datacenter Standards</t>
        </is>
      </c>
      <c r="G261" s="10" t="n">
        <v>2012</v>
      </c>
      <c r="H261" s="10" t="inlineStr">
        <is>
          <t>Advanced</t>
        </is>
      </c>
      <c r="I261" s="10" t="inlineStr">
        <is>
          <t>Active in 2026</t>
        </is>
      </c>
    </row>
    <row r="262">
      <c r="A262" s="10" t="n">
        <v>2025</v>
      </c>
      <c r="B262" s="10" t="inlineStr">
        <is>
          <t>Docs</t>
        </is>
      </c>
      <c r="C262" s="10" t="inlineStr">
        <is>
          <t>NVIDIA silicon photonics</t>
        </is>
      </c>
      <c r="D262" s="11" t="inlineStr">
        <is>
          <t>https://www.nvidia.com/en-us/networking/products/silicon-photonics/</t>
        </is>
      </c>
      <c r="E262" s="10" t="inlineStr">
        <is>
          <t>Co-packaged optics</t>
        </is>
      </c>
      <c r="F262" s="10" t="inlineStr">
        <is>
          <t>11. AI Hardware, Interconnect and Datacenter Standards</t>
        </is>
      </c>
      <c r="G262" s="10" t="n">
        <v>2025</v>
      </c>
      <c r="H262" s="10" t="inlineStr">
        <is>
          <t>Advanced</t>
        </is>
      </c>
      <c r="I262" s="10" t="inlineStr">
        <is>
          <t>Active in 2026</t>
        </is>
      </c>
    </row>
    <row r="263">
      <c r="A263" s="10" t="n">
        <v>2025</v>
      </c>
      <c r="B263" s="10" t="inlineStr">
        <is>
          <t>Blog</t>
        </is>
      </c>
      <c r="C263" s="10" t="inlineStr">
        <is>
          <t>Google: Ironwood TPU</t>
        </is>
      </c>
      <c r="D263" s="11" t="inlineStr">
        <is>
          <t>https://blog.google/products/google-cloud/ironwood-tpu-age-of-inference/</t>
        </is>
      </c>
      <c r="E263" s="10" t="inlineStr">
        <is>
          <t>Custom accelerators</t>
        </is>
      </c>
      <c r="F263" s="10" t="inlineStr">
        <is>
          <t>11. AI Hardware, Interconnect and Datacenter Standards</t>
        </is>
      </c>
      <c r="G263" s="10" t="n">
        <v>2016</v>
      </c>
      <c r="H263" s="10" t="inlineStr">
        <is>
          <t>Intermediate</t>
        </is>
      </c>
      <c r="I263" s="10" t="inlineStr">
        <is>
          <t>Active in 2026</t>
        </is>
      </c>
    </row>
    <row r="264">
      <c r="A264" s="10" t="n">
        <v>2020</v>
      </c>
      <c r="B264" s="10" t="inlineStr">
        <is>
          <t>Docs</t>
        </is>
      </c>
      <c r="C264" s="10" t="inlineStr">
        <is>
          <t>AWS Trainium</t>
        </is>
      </c>
      <c r="D264" s="11" t="inlineStr">
        <is>
          <t>https://aws.amazon.com/ai/machine-learning/trainium/</t>
        </is>
      </c>
      <c r="E264" s="10" t="inlineStr">
        <is>
          <t>Custom accelerators</t>
        </is>
      </c>
      <c r="F264" s="10" t="inlineStr">
        <is>
          <t>11. AI Hardware, Interconnect and Datacenter Standards</t>
        </is>
      </c>
      <c r="G264" s="10" t="n">
        <v>2016</v>
      </c>
      <c r="H264" s="10" t="inlineStr">
        <is>
          <t>Intermediate</t>
        </is>
      </c>
      <c r="I264" s="10" t="inlineStr">
        <is>
          <t>Active in 2026</t>
        </is>
      </c>
    </row>
    <row r="265">
      <c r="A265" s="10" t="n">
        <v>2016</v>
      </c>
      <c r="B265" s="10" t="inlineStr">
        <is>
          <t>Docs</t>
        </is>
      </c>
      <c r="C265" s="10" t="inlineStr">
        <is>
          <t>Cerebras</t>
        </is>
      </c>
      <c r="D265" s="11" t="inlineStr">
        <is>
          <t>https://www.cerebras.ai</t>
        </is>
      </c>
      <c r="E265" s="10" t="inlineStr">
        <is>
          <t>Custom accelerators</t>
        </is>
      </c>
      <c r="F265" s="10" t="inlineStr">
        <is>
          <t>11. AI Hardware, Interconnect and Datacenter Standards</t>
        </is>
      </c>
      <c r="G265" s="10" t="n">
        <v>2016</v>
      </c>
      <c r="H265" s="10" t="inlineStr">
        <is>
          <t>Intermediate</t>
        </is>
      </c>
      <c r="I265" s="10" t="inlineStr">
        <is>
          <t>Active in 2026</t>
        </is>
      </c>
    </row>
    <row r="266">
      <c r="A266" s="10" t="n">
        <v>2016</v>
      </c>
      <c r="B266" s="10" t="inlineStr">
        <is>
          <t>Docs</t>
        </is>
      </c>
      <c r="C266" s="10" t="inlineStr">
        <is>
          <t>Groq</t>
        </is>
      </c>
      <c r="D266" s="11" t="inlineStr">
        <is>
          <t>https://groq.com</t>
        </is>
      </c>
      <c r="E266" s="10" t="inlineStr">
        <is>
          <t>Custom accelerators</t>
        </is>
      </c>
      <c r="F266" s="10" t="inlineStr">
        <is>
          <t>11. AI Hardware, Interconnect and Datacenter Standards</t>
        </is>
      </c>
      <c r="G266" s="10" t="n">
        <v>2016</v>
      </c>
      <c r="H266" s="10" t="inlineStr">
        <is>
          <t>Intermediate</t>
        </is>
      </c>
      <c r="I266" s="10" t="inlineStr">
        <is>
          <t>Active in 2026</t>
        </is>
      </c>
    </row>
    <row r="267">
      <c r="A267" s="10" t="n">
        <v>2025</v>
      </c>
      <c r="B267" s="10" t="inlineStr">
        <is>
          <t>Blog</t>
        </is>
      </c>
      <c r="C267" s="10" t="inlineStr">
        <is>
          <t>NVIDIA: 800 V HVDC architecture</t>
        </is>
      </c>
      <c r="D267" s="11" t="inlineStr">
        <is>
          <t>https://developer.nvidia.com/blog/nvidia-800-v-hvdc-architecture-will-power-the-next-generation-of-ai-factories/</t>
        </is>
      </c>
      <c r="E267" s="10" t="inlineStr">
        <is>
          <t>AI factories, power and cooling</t>
        </is>
      </c>
      <c r="F267" s="10" t="inlineStr">
        <is>
          <t>11. AI Hardware, Interconnect and Datacenter Standards</t>
        </is>
      </c>
      <c r="G267" s="10" t="n">
        <v>2024</v>
      </c>
      <c r="H267" s="10" t="inlineStr">
        <is>
          <t>Intermediate</t>
        </is>
      </c>
      <c r="I267" s="10" t="inlineStr">
        <is>
          <t>Active in 2026</t>
        </is>
      </c>
    </row>
    <row r="268">
      <c r="A268" s="10" t="n">
        <v>2011</v>
      </c>
      <c r="B268" s="10" t="inlineStr">
        <is>
          <t>Spec</t>
        </is>
      </c>
      <c r="C268" s="10" t="inlineStr">
        <is>
          <t>Open Compute Project</t>
        </is>
      </c>
      <c r="D268" s="11" t="inlineStr">
        <is>
          <t>https://www.opencompute.org</t>
        </is>
      </c>
      <c r="E268" s="10" t="inlineStr">
        <is>
          <t>AI factories, power and cooling</t>
        </is>
      </c>
      <c r="F268" s="10" t="inlineStr">
        <is>
          <t>11. AI Hardware, Interconnect and Datacenter Standards</t>
        </is>
      </c>
      <c r="G268" s="10" t="n">
        <v>2024</v>
      </c>
      <c r="H268" s="10" t="inlineStr">
        <is>
          <t>Intermediate</t>
        </is>
      </c>
      <c r="I268" s="10" t="inlineStr">
        <is>
          <t>Active in 2026</t>
        </is>
      </c>
    </row>
    <row r="269">
      <c r="A269" s="10" t="n">
        <v>2025</v>
      </c>
      <c r="B269" s="10" t="inlineStr">
        <is>
          <t>Blog</t>
        </is>
      </c>
      <c r="C269" s="10" t="inlineStr">
        <is>
          <t>OpenAI: Stargate</t>
        </is>
      </c>
      <c r="D269" s="11" t="inlineStr">
        <is>
          <t>https://openai.com/index/announcing-the-stargate-project/</t>
        </is>
      </c>
      <c r="E269" s="10" t="inlineStr">
        <is>
          <t>AI factories, power and cooling</t>
        </is>
      </c>
      <c r="F269" s="10" t="inlineStr">
        <is>
          <t>11. AI Hardware, Interconnect and Datacenter Standards</t>
        </is>
      </c>
      <c r="G269" s="10" t="n">
        <v>2024</v>
      </c>
      <c r="H269" s="10" t="inlineStr">
        <is>
          <t>Intermediate</t>
        </is>
      </c>
      <c r="I269" s="10" t="inlineStr">
        <is>
          <t>Active in 2026</t>
        </is>
      </c>
    </row>
    <row r="270">
      <c r="A270" s="10" t="n">
        <v>2019</v>
      </c>
      <c r="B270" s="10" t="inlineStr">
        <is>
          <t>GitHub</t>
        </is>
      </c>
      <c r="C270" s="10" t="inlineStr">
        <is>
          <t>Triton</t>
        </is>
      </c>
      <c r="D270" s="11" t="inlineStr">
        <is>
          <t>https://github.com/triton-lang/triton</t>
        </is>
      </c>
      <c r="E270" s="10" t="inlineStr">
        <is>
          <t>Kernel languages and compilers</t>
        </is>
      </c>
      <c r="F270" s="10" t="inlineStr">
        <is>
          <t>11. AI Hardware, Interconnect and Datacenter Standards</t>
        </is>
      </c>
      <c r="G270" s="10" t="n">
        <v>2019</v>
      </c>
      <c r="H270" s="10" t="inlineStr">
        <is>
          <t>Advanced</t>
        </is>
      </c>
      <c r="I270" s="10" t="inlineStr">
        <is>
          <t>Active in 2026</t>
        </is>
      </c>
    </row>
    <row r="271">
      <c r="A271" s="10" t="n">
        <v>2017</v>
      </c>
      <c r="B271" s="10" t="inlineStr">
        <is>
          <t>GitHub</t>
        </is>
      </c>
      <c r="C271" s="10" t="inlineStr">
        <is>
          <t>CUTLASS / CuTe</t>
        </is>
      </c>
      <c r="D271" s="11" t="inlineStr">
        <is>
          <t>https://github.com/NVIDIA/cutlass</t>
        </is>
      </c>
      <c r="E271" s="10" t="inlineStr">
        <is>
          <t>Kernel languages and compilers</t>
        </is>
      </c>
      <c r="F271" s="10" t="inlineStr">
        <is>
          <t>11. AI Hardware, Interconnect and Datacenter Standards</t>
        </is>
      </c>
      <c r="G271" s="10" t="n">
        <v>2019</v>
      </c>
      <c r="H271" s="10" t="inlineStr">
        <is>
          <t>Advanced</t>
        </is>
      </c>
      <c r="I271" s="10" t="inlineStr">
        <is>
          <t>Active in 2026</t>
        </is>
      </c>
    </row>
    <row r="272">
      <c r="A272" s="10" t="n">
        <v>2024</v>
      </c>
      <c r="B272" s="10" t="inlineStr">
        <is>
          <t>GitHub</t>
        </is>
      </c>
      <c r="C272" s="10" t="inlineStr">
        <is>
          <t>ThunderKittens</t>
        </is>
      </c>
      <c r="D272" s="11" t="inlineStr">
        <is>
          <t>https://github.com/HazyResearch/ThunderKittens</t>
        </is>
      </c>
      <c r="E272" s="10" t="inlineStr">
        <is>
          <t>Kernel languages and compilers</t>
        </is>
      </c>
      <c r="F272" s="10" t="inlineStr">
        <is>
          <t>11. AI Hardware, Interconnect and Datacenter Standards</t>
        </is>
      </c>
      <c r="G272" s="10" t="n">
        <v>2019</v>
      </c>
      <c r="H272" s="10" t="inlineStr">
        <is>
          <t>Advanced</t>
        </is>
      </c>
      <c r="I272" s="10" t="inlineStr">
        <is>
          <t>Active in 2026</t>
        </is>
      </c>
    </row>
    <row r="273">
      <c r="A273" s="10" t="n">
        <v>2025</v>
      </c>
      <c r="B273" s="10" t="inlineStr">
        <is>
          <t>GitHub</t>
        </is>
      </c>
      <c r="C273" s="10" t="inlineStr">
        <is>
          <t>TileLang</t>
        </is>
      </c>
      <c r="D273" s="11" t="inlineStr">
        <is>
          <t>https://github.com/tile-ai/tilelang</t>
        </is>
      </c>
      <c r="E273" s="10" t="inlineStr">
        <is>
          <t>Kernel languages and compilers</t>
        </is>
      </c>
      <c r="F273" s="10" t="inlineStr">
        <is>
          <t>11. AI Hardware, Interconnect and Datacenter Standards</t>
        </is>
      </c>
      <c r="G273" s="10" t="n">
        <v>2019</v>
      </c>
      <c r="H273" s="10" t="inlineStr">
        <is>
          <t>Advanced</t>
        </is>
      </c>
      <c r="I273" s="10" t="inlineStr">
        <is>
          <t>Active in 2026</t>
        </is>
      </c>
    </row>
    <row r="274">
      <c r="A274" s="10" t="n">
        <v>2016</v>
      </c>
      <c r="B274" s="10" t="inlineStr">
        <is>
          <t>GitHub</t>
        </is>
      </c>
      <c r="C274" s="10" t="inlineStr">
        <is>
          <t>ROCm</t>
        </is>
      </c>
      <c r="D274" s="11" t="inlineStr">
        <is>
          <t>https://github.com/ROCm/ROCm</t>
        </is>
      </c>
      <c r="E274" s="10" t="inlineStr">
        <is>
          <t>Kernel languages and compilers</t>
        </is>
      </c>
      <c r="F274" s="10" t="inlineStr">
        <is>
          <t>11. AI Hardware, Interconnect and Datacenter Standards</t>
        </is>
      </c>
      <c r="G274" s="10" t="n">
        <v>2019</v>
      </c>
      <c r="H274" s="10" t="inlineStr">
        <is>
          <t>Advanced</t>
        </is>
      </c>
      <c r="I274" s="10" t="inlineStr">
        <is>
          <t>Active in 2026</t>
        </is>
      </c>
    </row>
    <row r="275">
      <c r="A275" s="10" t="n">
        <v>2022</v>
      </c>
      <c r="B275" s="10" t="inlineStr">
        <is>
          <t>GitHub</t>
        </is>
      </c>
      <c r="C275" s="10" t="inlineStr">
        <is>
          <t>OpenXLA</t>
        </is>
      </c>
      <c r="D275" s="11" t="inlineStr">
        <is>
          <t>https://github.com/openxla/xla</t>
        </is>
      </c>
      <c r="E275" s="10" t="inlineStr">
        <is>
          <t>Kernel languages and compilers</t>
        </is>
      </c>
      <c r="F275" s="10" t="inlineStr">
        <is>
          <t>11. AI Hardware, Interconnect and Datacenter Standards</t>
        </is>
      </c>
      <c r="G275" s="10" t="n">
        <v>2019</v>
      </c>
      <c r="H275" s="10" t="inlineStr">
        <is>
          <t>Advanced</t>
        </is>
      </c>
      <c r="I275" s="10" t="inlineStr">
        <is>
          <t>Active in 2026</t>
        </is>
      </c>
    </row>
    <row r="276">
      <c r="A276" s="10" t="n">
        <v>2023</v>
      </c>
      <c r="B276" s="10" t="inlineStr">
        <is>
          <t>GitHub</t>
        </is>
      </c>
      <c r="C276" s="10" t="inlineStr">
        <is>
          <t>Modular (Mojo, MAX)</t>
        </is>
      </c>
      <c r="D276" s="11" t="inlineStr">
        <is>
          <t>https://github.com/modular/modular</t>
        </is>
      </c>
      <c r="E276" s="10" t="inlineStr">
        <is>
          <t>Kernel languages and compilers</t>
        </is>
      </c>
      <c r="F276" s="10" t="inlineStr">
        <is>
          <t>11. AI Hardware, Interconnect and Datacenter Standards</t>
        </is>
      </c>
      <c r="G276" s="10" t="n">
        <v>2019</v>
      </c>
      <c r="H276" s="10" t="inlineStr">
        <is>
          <t>Advanced</t>
        </is>
      </c>
      <c r="I276" s="10" t="inlineStr">
        <is>
          <t>Active in 2026</t>
        </is>
      </c>
    </row>
    <row r="277">
      <c r="A277" s="10" t="n">
        <v>2016</v>
      </c>
      <c r="B277" s="10" t="inlineStr">
        <is>
          <t>GitHub</t>
        </is>
      </c>
      <c r="C277" s="10" t="inlineStr">
        <is>
          <t>NCCL</t>
        </is>
      </c>
      <c r="D277" s="11" t="inlineStr">
        <is>
          <t>https://github.com/NVIDIA/nccl</t>
        </is>
      </c>
      <c r="E277" s="10" t="inlineStr">
        <is>
          <t>Collective communication</t>
        </is>
      </c>
      <c r="F277" s="10" t="inlineStr">
        <is>
          <t>11. AI Hardware, Interconnect and Datacenter Standards</t>
        </is>
      </c>
      <c r="G277" s="10" t="n">
        <v>2016</v>
      </c>
      <c r="H277" s="10" t="inlineStr">
        <is>
          <t>Advanced</t>
        </is>
      </c>
      <c r="I277" s="10" t="inlineStr">
        <is>
          <t>Active in 2026</t>
        </is>
      </c>
    </row>
    <row r="278">
      <c r="A278" s="10" t="n">
        <v>2025</v>
      </c>
      <c r="B278" s="10" t="inlineStr">
        <is>
          <t>GitHub</t>
        </is>
      </c>
      <c r="C278" s="10" t="inlineStr">
        <is>
          <t>DeepEP</t>
        </is>
      </c>
      <c r="D278" s="11" t="inlineStr">
        <is>
          <t>https://github.com/deepseek-ai/DeepEP</t>
        </is>
      </c>
      <c r="E278" s="10" t="inlineStr">
        <is>
          <t>Collective communication</t>
        </is>
      </c>
      <c r="F278" s="10" t="inlineStr">
        <is>
          <t>11. AI Hardware, Interconnect and Datacenter Standards</t>
        </is>
      </c>
      <c r="G278" s="10" t="n">
        <v>2016</v>
      </c>
      <c r="H278" s="10" t="inlineStr">
        <is>
          <t>Advanced</t>
        </is>
      </c>
      <c r="I278" s="10" t="inlineStr">
        <is>
          <t>Active in 2026</t>
        </is>
      </c>
    </row>
    <row r="279">
      <c r="A279" s="10" t="n">
        <v>2017</v>
      </c>
      <c r="B279" s="10" t="inlineStr">
        <is>
          <t>GitHub</t>
        </is>
      </c>
      <c r="C279" s="10" t="inlineStr">
        <is>
          <t>ONNX</t>
        </is>
      </c>
      <c r="D279" s="11" t="inlineStr">
        <is>
          <t>https://github.com/onnx/onnx</t>
        </is>
      </c>
      <c r="E279" s="10" t="inlineStr">
        <is>
          <t>Model interchange formats</t>
        </is>
      </c>
      <c r="F279" s="10" t="inlineStr">
        <is>
          <t>11. AI Hardware, Interconnect and Datacenter Standards</t>
        </is>
      </c>
      <c r="G279" s="10" t="n">
        <v>2017</v>
      </c>
      <c r="H279" s="10" t="inlineStr">
        <is>
          <t>Beginner</t>
        </is>
      </c>
      <c r="I279" s="10" t="inlineStr">
        <is>
          <t>Established</t>
        </is>
      </c>
    </row>
    <row r="280">
      <c r="A280" s="10" t="n">
        <v>2022</v>
      </c>
      <c r="B280" s="10" t="inlineStr">
        <is>
          <t>GitHub</t>
        </is>
      </c>
      <c r="C280" s="10" t="inlineStr">
        <is>
          <t>safetensors</t>
        </is>
      </c>
      <c r="D280" s="11" t="inlineStr">
        <is>
          <t>https://github.com/huggingface/safetensors</t>
        </is>
      </c>
      <c r="E280" s="10" t="inlineStr">
        <is>
          <t>Model interchange formats</t>
        </is>
      </c>
      <c r="F280" s="10" t="inlineStr">
        <is>
          <t>11. AI Hardware, Interconnect and Datacenter Standards</t>
        </is>
      </c>
      <c r="G280" s="10" t="n">
        <v>2017</v>
      </c>
      <c r="H280" s="10" t="inlineStr">
        <is>
          <t>Beginner</t>
        </is>
      </c>
      <c r="I280" s="10" t="inlineStr">
        <is>
          <t>Established</t>
        </is>
      </c>
    </row>
    <row r="281">
      <c r="A281" s="10" t="n">
        <v>2018</v>
      </c>
      <c r="B281" s="10" t="inlineStr">
        <is>
          <t>Docs</t>
        </is>
      </c>
      <c r="C281" s="10" t="inlineStr">
        <is>
          <t>MLCommons benchmarks</t>
        </is>
      </c>
      <c r="D281" s="11" t="inlineStr">
        <is>
          <t>https://mlcommons.org/benchmarks/</t>
        </is>
      </c>
      <c r="E281" s="10" t="inlineStr">
        <is>
          <t>Hardware benchmarks</t>
        </is>
      </c>
      <c r="F281" s="10" t="inlineStr">
        <is>
          <t>11. AI Hardware, Interconnect and Datacenter Standards</t>
        </is>
      </c>
      <c r="G281" s="10" t="n">
        <v>2018</v>
      </c>
      <c r="H281" s="10" t="inlineStr">
        <is>
          <t>Beginner</t>
        </is>
      </c>
      <c r="I281" s="10" t="inlineStr">
        <is>
          <t>Active in 2026</t>
        </is>
      </c>
    </row>
    <row r="282">
      <c r="A282" s="10" t="n">
        <v>2023</v>
      </c>
      <c r="B282" s="10" t="inlineStr">
        <is>
          <t>Docs</t>
        </is>
      </c>
      <c r="C282" s="10" t="inlineStr">
        <is>
          <t>Epoch AI: ML hardware data</t>
        </is>
      </c>
      <c r="D282" s="11" t="inlineStr">
        <is>
          <t>https://epoch.ai/data/machine-learning-hardware</t>
        </is>
      </c>
      <c r="E282" s="10" t="inlineStr">
        <is>
          <t>Hardware benchmarks</t>
        </is>
      </c>
      <c r="F282" s="10" t="inlineStr">
        <is>
          <t>11. AI Hardware, Interconnect and Datacenter Standards</t>
        </is>
      </c>
      <c r="G282" s="10" t="n">
        <v>2018</v>
      </c>
      <c r="H282" s="10" t="inlineStr">
        <is>
          <t>Beginner</t>
        </is>
      </c>
      <c r="I282" s="10" t="inlineStr">
        <is>
          <t>Active in 2026</t>
        </is>
      </c>
    </row>
    <row r="283">
      <c r="A283" s="10" t="n">
        <v>2025</v>
      </c>
      <c r="B283" s="10" t="inlineStr">
        <is>
          <t>Blog</t>
        </is>
      </c>
      <c r="C283" s="10" t="inlineStr">
        <is>
          <t>Hugging Face: Vision language models 2025</t>
        </is>
      </c>
      <c r="D283" s="11" t="inlineStr">
        <is>
          <t>https://huggingface.co/blog/vlms-2025</t>
        </is>
      </c>
      <c r="E283" s="10" t="inlineStr">
        <is>
          <t>VLM architecture</t>
        </is>
      </c>
      <c r="F283" s="10" t="inlineStr">
        <is>
          <t>12. Vision-Language and Multimodal Models</t>
        </is>
      </c>
      <c r="G283" s="10" t="n">
        <v>2023</v>
      </c>
      <c r="H283" s="10" t="inlineStr">
        <is>
          <t>Beginner</t>
        </is>
      </c>
      <c r="I283" s="10" t="inlineStr">
        <is>
          <t>Active in 2026</t>
        </is>
      </c>
    </row>
    <row r="284">
      <c r="A284" s="10" t="n">
        <v>2023</v>
      </c>
      <c r="B284" s="10" t="inlineStr">
        <is>
          <t>GitHub</t>
        </is>
      </c>
      <c r="C284" s="10" t="inlineStr">
        <is>
          <t>LLaVA</t>
        </is>
      </c>
      <c r="D284" s="11" t="inlineStr">
        <is>
          <t>https://github.com/haotian-liu/LLaVA</t>
        </is>
      </c>
      <c r="E284" s="10" t="inlineStr">
        <is>
          <t>VLM architecture</t>
        </is>
      </c>
      <c r="F284" s="10" t="inlineStr">
        <is>
          <t>12. Vision-Language and Multimodal Models</t>
        </is>
      </c>
      <c r="G284" s="10" t="n">
        <v>2023</v>
      </c>
      <c r="H284" s="10" t="inlineStr">
        <is>
          <t>Beginner</t>
        </is>
      </c>
      <c r="I284" s="10" t="inlineStr">
        <is>
          <t>Active in 2026</t>
        </is>
      </c>
    </row>
    <row r="285">
      <c r="A285" s="10" t="n">
        <v>2025</v>
      </c>
      <c r="B285" s="10" t="inlineStr">
        <is>
          <t>Paper</t>
        </is>
      </c>
      <c r="C285" s="10" t="inlineStr">
        <is>
          <t>SigLIP 2</t>
        </is>
      </c>
      <c r="D285" s="11" t="inlineStr">
        <is>
          <t>https://arxiv.org/abs/2502.14786</t>
        </is>
      </c>
      <c r="E285" s="10" t="inlineStr">
        <is>
          <t>VLM architecture</t>
        </is>
      </c>
      <c r="F285" s="10" t="inlineStr">
        <is>
          <t>12. Vision-Language and Multimodal Models</t>
        </is>
      </c>
      <c r="G285" s="10" t="n">
        <v>2023</v>
      </c>
      <c r="H285" s="10" t="inlineStr">
        <is>
          <t>Beginner</t>
        </is>
      </c>
      <c r="I285" s="10" t="inlineStr">
        <is>
          <t>Active in 2026</t>
        </is>
      </c>
    </row>
    <row r="286">
      <c r="A286" s="10" t="n">
        <v>2025</v>
      </c>
      <c r="B286" s="10" t="inlineStr">
        <is>
          <t>GitHub</t>
        </is>
      </c>
      <c r="C286" s="10" t="inlineStr">
        <is>
          <t>Qwen3-VL</t>
        </is>
      </c>
      <c r="D286" s="11" t="inlineStr">
        <is>
          <t>https://github.com/QwenLM/Qwen3-VL</t>
        </is>
      </c>
      <c r="E286" s="10" t="inlineStr">
        <is>
          <t>Open VLM families</t>
        </is>
      </c>
      <c r="F286" s="10" t="inlineStr">
        <is>
          <t>12. Vision-Language and Multimodal Models</t>
        </is>
      </c>
      <c r="G286" s="10" t="n">
        <v>2024</v>
      </c>
      <c r="H286" s="10" t="inlineStr">
        <is>
          <t>Beginner</t>
        </is>
      </c>
      <c r="I286" s="10" t="inlineStr">
        <is>
          <t>Active in 2026</t>
        </is>
      </c>
    </row>
    <row r="287">
      <c r="A287" s="10" t="n">
        <v>2023</v>
      </c>
      <c r="B287" s="10" t="inlineStr">
        <is>
          <t>GitHub</t>
        </is>
      </c>
      <c r="C287" s="10" t="inlineStr">
        <is>
          <t>InternVL</t>
        </is>
      </c>
      <c r="D287" s="11" t="inlineStr">
        <is>
          <t>https://github.com/OpenGVLab/InternVL</t>
        </is>
      </c>
      <c r="E287" s="10" t="inlineStr">
        <is>
          <t>Open VLM families</t>
        </is>
      </c>
      <c r="F287" s="10" t="inlineStr">
        <is>
          <t>12. Vision-Language and Multimodal Models</t>
        </is>
      </c>
      <c r="G287" s="10" t="n">
        <v>2024</v>
      </c>
      <c r="H287" s="10" t="inlineStr">
        <is>
          <t>Beginner</t>
        </is>
      </c>
      <c r="I287" s="10" t="inlineStr">
        <is>
          <t>Active in 2026</t>
        </is>
      </c>
    </row>
    <row r="288">
      <c r="A288" s="10" t="n">
        <v>2024</v>
      </c>
      <c r="B288" s="10" t="inlineStr">
        <is>
          <t>Blog</t>
        </is>
      </c>
      <c r="C288" s="10" t="inlineStr">
        <is>
          <t>SmolVLM</t>
        </is>
      </c>
      <c r="D288" s="11" t="inlineStr">
        <is>
          <t>https://huggingface.co/blog/smolvlm</t>
        </is>
      </c>
      <c r="E288" s="10" t="inlineStr">
        <is>
          <t>Open VLM families</t>
        </is>
      </c>
      <c r="F288" s="10" t="inlineStr">
        <is>
          <t>12. Vision-Language and Multimodal Models</t>
        </is>
      </c>
      <c r="G288" s="10" t="n">
        <v>2024</v>
      </c>
      <c r="H288" s="10" t="inlineStr">
        <is>
          <t>Beginner</t>
        </is>
      </c>
      <c r="I288" s="10" t="inlineStr">
        <is>
          <t>Active in 2026</t>
        </is>
      </c>
    </row>
    <row r="289">
      <c r="A289" s="10" t="n">
        <v>2026</v>
      </c>
      <c r="B289" s="10" t="inlineStr">
        <is>
          <t>Blog</t>
        </is>
      </c>
      <c r="C289" s="10" t="inlineStr">
        <is>
          <t>BentoML: Open VLM guide</t>
        </is>
      </c>
      <c r="D289" s="11" t="inlineStr">
        <is>
          <t>https://www.bentoml.com/blog/multimodal-ai-a-guide-to-open-source-vision-language-models</t>
        </is>
      </c>
      <c r="E289" s="10" t="inlineStr">
        <is>
          <t>Open VLM families</t>
        </is>
      </c>
      <c r="F289" s="10" t="inlineStr">
        <is>
          <t>12. Vision-Language and Multimodal Models</t>
        </is>
      </c>
      <c r="G289" s="10" t="n">
        <v>2024</v>
      </c>
      <c r="H289" s="10" t="inlineStr">
        <is>
          <t>Beginner</t>
        </is>
      </c>
      <c r="I289" s="10" t="inlineStr">
        <is>
          <t>Active in 2026</t>
        </is>
      </c>
    </row>
    <row r="290">
      <c r="A290" s="10" t="n">
        <v>2023</v>
      </c>
      <c r="B290" s="10" t="inlineStr">
        <is>
          <t>Paper</t>
        </is>
      </c>
      <c r="C290" s="10" t="inlineStr">
        <is>
          <t>NaViT</t>
        </is>
      </c>
      <c r="D290" s="11" t="inlineStr">
        <is>
          <t>https://arxiv.org/abs/2307.06304</t>
        </is>
      </c>
      <c r="E290" s="10" t="inlineStr">
        <is>
          <t>Native and dynamic resolution</t>
        </is>
      </c>
      <c r="F290" s="10" t="inlineStr">
        <is>
          <t>12. Vision-Language and Multimodal Models</t>
        </is>
      </c>
      <c r="G290" s="10" t="n">
        <v>2023</v>
      </c>
      <c r="H290" s="10" t="inlineStr">
        <is>
          <t>Intermediate</t>
        </is>
      </c>
      <c r="I290" s="10" t="inlineStr">
        <is>
          <t>Established</t>
        </is>
      </c>
    </row>
    <row r="291">
      <c r="A291" s="10" t="n">
        <v>2025</v>
      </c>
      <c r="B291" s="10" t="inlineStr">
        <is>
          <t>Blog</t>
        </is>
      </c>
      <c r="C291" s="10" t="inlineStr">
        <is>
          <t>OpenAI: Thinking with images</t>
        </is>
      </c>
      <c r="D291" s="11" t="inlineStr">
        <is>
          <t>https://openai.com/index/thinking-with-images/</t>
        </is>
      </c>
      <c r="E291" s="10" t="inlineStr">
        <is>
          <t>Thinking with images</t>
        </is>
      </c>
      <c r="F291" s="10" t="inlineStr">
        <is>
          <t>12. Vision-Language and Multimodal Models</t>
        </is>
      </c>
      <c r="G291" s="10" t="n">
        <v>2025</v>
      </c>
      <c r="H291" s="10" t="inlineStr">
        <is>
          <t>Intermediate</t>
        </is>
      </c>
      <c r="I291" s="10" t="inlineStr">
        <is>
          <t>Active in 2026</t>
        </is>
      </c>
    </row>
    <row r="292">
      <c r="A292" s="10" t="n">
        <v>2025</v>
      </c>
      <c r="B292" s="10" t="inlineStr">
        <is>
          <t>GitHub</t>
        </is>
      </c>
      <c r="C292" s="10" t="inlineStr">
        <is>
          <t>DeepSeek-OCR</t>
        </is>
      </c>
      <c r="D292" s="11" t="inlineStr">
        <is>
          <t>https://github.com/deepseek-ai/DeepSeek-OCR</t>
        </is>
      </c>
      <c r="E292" s="10" t="inlineStr">
        <is>
          <t>Document AI and VLM-based OCR</t>
        </is>
      </c>
      <c r="F292" s="10" t="inlineStr">
        <is>
          <t>12. Vision-Language and Multimodal Models</t>
        </is>
      </c>
      <c r="G292" s="10" t="n">
        <v>2024</v>
      </c>
      <c r="H292" s="10" t="inlineStr">
        <is>
          <t>Intermediate</t>
        </is>
      </c>
      <c r="I292" s="10" t="inlineStr">
        <is>
          <t>Active in 2026</t>
        </is>
      </c>
    </row>
    <row r="293">
      <c r="A293" s="10" t="n">
        <v>2025</v>
      </c>
      <c r="B293" s="10" t="inlineStr">
        <is>
          <t>GitHub</t>
        </is>
      </c>
      <c r="C293" s="10" t="inlineStr">
        <is>
          <t>olmOCR</t>
        </is>
      </c>
      <c r="D293" s="11" t="inlineStr">
        <is>
          <t>https://github.com/allenai/olmocr</t>
        </is>
      </c>
      <c r="E293" s="10" t="inlineStr">
        <is>
          <t>Document AI and VLM-based OCR</t>
        </is>
      </c>
      <c r="F293" s="10" t="inlineStr">
        <is>
          <t>12. Vision-Language and Multimodal Models</t>
        </is>
      </c>
      <c r="G293" s="10" t="n">
        <v>2024</v>
      </c>
      <c r="H293" s="10" t="inlineStr">
        <is>
          <t>Intermediate</t>
        </is>
      </c>
      <c r="I293" s="10" t="inlineStr">
        <is>
          <t>Active in 2026</t>
        </is>
      </c>
    </row>
    <row r="294">
      <c r="A294" s="10" t="n">
        <v>2024</v>
      </c>
      <c r="B294" s="10" t="inlineStr">
        <is>
          <t>GitHub</t>
        </is>
      </c>
      <c r="C294" s="10" t="inlineStr">
        <is>
          <t>Docling</t>
        </is>
      </c>
      <c r="D294" s="11" t="inlineStr">
        <is>
          <t>https://github.com/docling-project/docling</t>
        </is>
      </c>
      <c r="E294" s="10" t="inlineStr">
        <is>
          <t>Document AI and VLM-based OCR</t>
        </is>
      </c>
      <c r="F294" s="10" t="inlineStr">
        <is>
          <t>12. Vision-Language and Multimodal Models</t>
        </is>
      </c>
      <c r="G294" s="10" t="n">
        <v>2024</v>
      </c>
      <c r="H294" s="10" t="inlineStr">
        <is>
          <t>Intermediate</t>
        </is>
      </c>
      <c r="I294" s="10" t="inlineStr">
        <is>
          <t>Active in 2026</t>
        </is>
      </c>
    </row>
    <row r="295">
      <c r="A295" s="10" t="n">
        <v>2020</v>
      </c>
      <c r="B295" s="10" t="inlineStr">
        <is>
          <t>GitHub</t>
        </is>
      </c>
      <c r="C295" s="10" t="inlineStr">
        <is>
          <t>PaddleOCR</t>
        </is>
      </c>
      <c r="D295" s="11" t="inlineStr">
        <is>
          <t>https://github.com/PaddlePaddle/PaddleOCR</t>
        </is>
      </c>
      <c r="E295" s="10" t="inlineStr">
        <is>
          <t>Document AI and VLM-based OCR</t>
        </is>
      </c>
      <c r="F295" s="10" t="inlineStr">
        <is>
          <t>12. Vision-Language and Multimodal Models</t>
        </is>
      </c>
      <c r="G295" s="10" t="n">
        <v>2024</v>
      </c>
      <c r="H295" s="10" t="inlineStr">
        <is>
          <t>Intermediate</t>
        </is>
      </c>
      <c r="I295" s="10" t="inlineStr">
        <is>
          <t>Active in 2026</t>
        </is>
      </c>
    </row>
    <row r="296">
      <c r="A296" s="10" t="n">
        <v>2024</v>
      </c>
      <c r="B296" s="10" t="inlineStr">
        <is>
          <t>GitHub</t>
        </is>
      </c>
      <c r="C296" s="10" t="inlineStr">
        <is>
          <t>ColPali</t>
        </is>
      </c>
      <c r="D296" s="11" t="inlineStr">
        <is>
          <t>https://github.com/illuin-tech/colpali</t>
        </is>
      </c>
      <c r="E296" s="10" t="inlineStr">
        <is>
          <t>Visual document retrieval</t>
        </is>
      </c>
      <c r="F296" s="10" t="inlineStr">
        <is>
          <t>12. Vision-Language and Multimodal Models</t>
        </is>
      </c>
      <c r="G296" s="10" t="n">
        <v>2024</v>
      </c>
      <c r="H296" s="10" t="inlineStr">
        <is>
          <t>Intermediate</t>
        </is>
      </c>
      <c r="I296" s="10" t="inlineStr">
        <is>
          <t>Established</t>
        </is>
      </c>
    </row>
    <row r="297">
      <c r="A297" s="10" t="n">
        <v>2025</v>
      </c>
      <c r="B297" s="10" t="inlineStr">
        <is>
          <t>GitHub</t>
        </is>
      </c>
      <c r="C297" s="10" t="inlineStr">
        <is>
          <t>UI-TARS</t>
        </is>
      </c>
      <c r="D297" s="11" t="inlineStr">
        <is>
          <t>https://github.com/bytedance/UI-TARS</t>
        </is>
      </c>
      <c r="E297" s="10" t="inlineStr">
        <is>
          <t>GUI grounding agents</t>
        </is>
      </c>
      <c r="F297" s="10" t="inlineStr">
        <is>
          <t>12. Vision-Language and Multimodal Models</t>
        </is>
      </c>
      <c r="G297" s="10" t="n">
        <v>2024</v>
      </c>
      <c r="H297" s="10" t="inlineStr">
        <is>
          <t>Advanced</t>
        </is>
      </c>
      <c r="I297" s="10" t="inlineStr">
        <is>
          <t>Active in 2026</t>
        </is>
      </c>
    </row>
    <row r="298">
      <c r="A298" s="10" t="n">
        <v>2024</v>
      </c>
      <c r="B298" s="10" t="inlineStr">
        <is>
          <t>GitHub</t>
        </is>
      </c>
      <c r="C298" s="10" t="inlineStr">
        <is>
          <t>OmniParser</t>
        </is>
      </c>
      <c r="D298" s="11" t="inlineStr">
        <is>
          <t>https://github.com/microsoft/OmniParser</t>
        </is>
      </c>
      <c r="E298" s="10" t="inlineStr">
        <is>
          <t>GUI grounding agents</t>
        </is>
      </c>
      <c r="F298" s="10" t="inlineStr">
        <is>
          <t>12. Vision-Language and Multimodal Models</t>
        </is>
      </c>
      <c r="G298" s="10" t="n">
        <v>2024</v>
      </c>
      <c r="H298" s="10" t="inlineStr">
        <is>
          <t>Advanced</t>
        </is>
      </c>
      <c r="I298" s="10" t="inlineStr">
        <is>
          <t>Active in 2026</t>
        </is>
      </c>
    </row>
    <row r="299">
      <c r="A299" s="10" t="n">
        <v>2025</v>
      </c>
      <c r="B299" s="10" t="inlineStr">
        <is>
          <t>GitHub</t>
        </is>
      </c>
      <c r="C299" s="10" t="inlineStr">
        <is>
          <t>Qwen3-Omni</t>
        </is>
      </c>
      <c r="D299" s="11" t="inlineStr">
        <is>
          <t>https://github.com/QwenLM/Qwen3-Omni</t>
        </is>
      </c>
      <c r="E299" s="10" t="inlineStr">
        <is>
          <t>Omni and speech-to-speech models</t>
        </is>
      </c>
      <c r="F299" s="10" t="inlineStr">
        <is>
          <t>12. Vision-Language and Multimodal Models</t>
        </is>
      </c>
      <c r="G299" s="10" t="n">
        <v>2024</v>
      </c>
      <c r="H299" s="10" t="inlineStr">
        <is>
          <t>Intermediate</t>
        </is>
      </c>
      <c r="I299" s="10" t="inlineStr">
        <is>
          <t>Active in 2026</t>
        </is>
      </c>
    </row>
    <row r="300">
      <c r="A300" s="10" t="n">
        <v>2024</v>
      </c>
      <c r="B300" s="10" t="inlineStr">
        <is>
          <t>GitHub</t>
        </is>
      </c>
      <c r="C300" s="10" t="inlineStr">
        <is>
          <t>Moshi</t>
        </is>
      </c>
      <c r="D300" s="11" t="inlineStr">
        <is>
          <t>https://github.com/kyutai-labs/moshi</t>
        </is>
      </c>
      <c r="E300" s="10" t="inlineStr">
        <is>
          <t>Omni and speech-to-speech models</t>
        </is>
      </c>
      <c r="F300" s="10" t="inlineStr">
        <is>
          <t>12. Vision-Language and Multimodal Models</t>
        </is>
      </c>
      <c r="G300" s="10" t="n">
        <v>2024</v>
      </c>
      <c r="H300" s="10" t="inlineStr">
        <is>
          <t>Intermediate</t>
        </is>
      </c>
      <c r="I300" s="10" t="inlineStr">
        <is>
          <t>Active in 2026</t>
        </is>
      </c>
    </row>
    <row r="301">
      <c r="A301" s="10" t="n">
        <v>2024</v>
      </c>
      <c r="B301" s="10" t="inlineStr">
        <is>
          <t>Docs</t>
        </is>
      </c>
      <c r="C301" s="10" t="inlineStr">
        <is>
          <t>OpenAI Realtime API</t>
        </is>
      </c>
      <c r="D301" s="11" t="inlineStr">
        <is>
          <t>https://platform.openai.com/docs/guides/realtime</t>
        </is>
      </c>
      <c r="E301" s="10" t="inlineStr">
        <is>
          <t>Omni and speech-to-speech models</t>
        </is>
      </c>
      <c r="F301" s="10" t="inlineStr">
        <is>
          <t>12. Vision-Language and Multimodal Models</t>
        </is>
      </c>
      <c r="G301" s="10" t="n">
        <v>2024</v>
      </c>
      <c r="H301" s="10" t="inlineStr">
        <is>
          <t>Intermediate</t>
        </is>
      </c>
      <c r="I301" s="10" t="inlineStr">
        <is>
          <t>Active in 2026</t>
        </is>
      </c>
    </row>
    <row r="302">
      <c r="A302" s="10" t="n">
        <v>2024</v>
      </c>
      <c r="B302" s="10" t="inlineStr">
        <is>
          <t>GitHub</t>
        </is>
      </c>
      <c r="C302" s="10" t="inlineStr">
        <is>
          <t>Pipecat</t>
        </is>
      </c>
      <c r="D302" s="11" t="inlineStr">
        <is>
          <t>https://github.com/pipecat-ai/pipecat</t>
        </is>
      </c>
      <c r="E302" s="10" t="inlineStr">
        <is>
          <t>Omni and speech-to-speech models</t>
        </is>
      </c>
      <c r="F302" s="10" t="inlineStr">
        <is>
          <t>12. Vision-Language and Multimodal Models</t>
        </is>
      </c>
      <c r="G302" s="10" t="n">
        <v>2024</v>
      </c>
      <c r="H302" s="10" t="inlineStr">
        <is>
          <t>Intermediate</t>
        </is>
      </c>
      <c r="I302" s="10" t="inlineStr">
        <is>
          <t>Active in 2026</t>
        </is>
      </c>
    </row>
    <row r="303">
      <c r="A303" s="10" t="n">
        <v>2024</v>
      </c>
      <c r="B303" s="10" t="inlineStr">
        <is>
          <t>GitHub</t>
        </is>
      </c>
      <c r="C303" s="10" t="inlineStr">
        <is>
          <t>LiveKit Agents</t>
        </is>
      </c>
      <c r="D303" s="11" t="inlineStr">
        <is>
          <t>https://github.com/livekit/agents</t>
        </is>
      </c>
      <c r="E303" s="10" t="inlineStr">
        <is>
          <t>Omni and speech-to-speech models</t>
        </is>
      </c>
      <c r="F303" s="10" t="inlineStr">
        <is>
          <t>12. Vision-Language and Multimodal Models</t>
        </is>
      </c>
      <c r="G303" s="10" t="n">
        <v>2024</v>
      </c>
      <c r="H303" s="10" t="inlineStr">
        <is>
          <t>Intermediate</t>
        </is>
      </c>
      <c r="I303" s="10" t="inlineStr">
        <is>
          <t>Active in 2026</t>
        </is>
      </c>
    </row>
    <row r="304">
      <c r="A304" s="10" t="n">
        <v>2022</v>
      </c>
      <c r="B304" s="10" t="inlineStr">
        <is>
          <t>GitHub</t>
        </is>
      </c>
      <c r="C304" s="10" t="inlineStr">
        <is>
          <t>Whisper</t>
        </is>
      </c>
      <c r="D304" s="11" t="inlineStr">
        <is>
          <t>https://github.com/openai/whisper</t>
        </is>
      </c>
      <c r="E304" s="10" t="inlineStr">
        <is>
          <t>Omni and speech-to-speech models</t>
        </is>
      </c>
      <c r="F304" s="10" t="inlineStr">
        <is>
          <t>12. Vision-Language and Multimodal Models</t>
        </is>
      </c>
      <c r="G304" s="10" t="n">
        <v>2024</v>
      </c>
      <c r="H304" s="10" t="inlineStr">
        <is>
          <t>Intermediate</t>
        </is>
      </c>
      <c r="I304" s="10" t="inlineStr">
        <is>
          <t>Active in 2026</t>
        </is>
      </c>
    </row>
    <row r="305">
      <c r="A305" s="10" t="n">
        <v>2025</v>
      </c>
      <c r="B305" s="10" t="inlineStr">
        <is>
          <t>Blog</t>
        </is>
      </c>
      <c r="C305" s="10" t="inlineStr">
        <is>
          <t>OpenAI: 4o image generation</t>
        </is>
      </c>
      <c r="D305" s="11" t="inlineStr">
        <is>
          <t>https://openai.com/index/introducing-4o-image-generation/</t>
        </is>
      </c>
      <c r="E305" s="10" t="inlineStr">
        <is>
          <t>Native image generation and editing</t>
        </is>
      </c>
      <c r="F305" s="10" t="inlineStr">
        <is>
          <t>12. Vision-Language and Multimodal Models</t>
        </is>
      </c>
      <c r="G305" s="10" t="n">
        <v>2025</v>
      </c>
      <c r="H305" s="10" t="inlineStr">
        <is>
          <t>Beginner</t>
        </is>
      </c>
      <c r="I305" s="10" t="inlineStr">
        <is>
          <t>Active in 2026</t>
        </is>
      </c>
    </row>
    <row r="306">
      <c r="A306" s="10" t="n">
        <v>2025</v>
      </c>
      <c r="B306" s="10" t="inlineStr">
        <is>
          <t>Blog</t>
        </is>
      </c>
      <c r="C306" s="10" t="inlineStr">
        <is>
          <t>Google: Gemini 2.5 Flash Image</t>
        </is>
      </c>
      <c r="D306" s="11" t="inlineStr">
        <is>
          <t>https://developers.googleblog.com/en/introducing-gemini-2-5-flash-image/</t>
        </is>
      </c>
      <c r="E306" s="10" t="inlineStr">
        <is>
          <t>Native image generation and editing</t>
        </is>
      </c>
      <c r="F306" s="10" t="inlineStr">
        <is>
          <t>12. Vision-Language and Multimodal Models</t>
        </is>
      </c>
      <c r="G306" s="10" t="n">
        <v>2025</v>
      </c>
      <c r="H306" s="10" t="inlineStr">
        <is>
          <t>Beginner</t>
        </is>
      </c>
      <c r="I306" s="10" t="inlineStr">
        <is>
          <t>Active in 2026</t>
        </is>
      </c>
    </row>
    <row r="307">
      <c r="A307" s="10" t="n">
        <v>2023</v>
      </c>
      <c r="B307" s="10" t="inlineStr">
        <is>
          <t>Docs</t>
        </is>
      </c>
      <c r="C307" s="10" t="inlineStr">
        <is>
          <t>MMMU</t>
        </is>
      </c>
      <c r="D307" s="11" t="inlineStr">
        <is>
          <t>https://mmmu-benchmark.github.io</t>
        </is>
      </c>
      <c r="E307" s="10" t="inlineStr">
        <is>
          <t>Multimodal evaluation</t>
        </is>
      </c>
      <c r="F307" s="10" t="inlineStr">
        <is>
          <t>12. Vision-Language and Multimodal Models</t>
        </is>
      </c>
      <c r="G307" s="10" t="n">
        <v>2023</v>
      </c>
      <c r="H307" s="10" t="inlineStr">
        <is>
          <t>Intermediate</t>
        </is>
      </c>
      <c r="I307" s="10" t="inlineStr">
        <is>
          <t>Active in 2026</t>
        </is>
      </c>
    </row>
    <row r="308">
      <c r="A308" s="10" t="n">
        <v>2023</v>
      </c>
      <c r="B308" s="10" t="inlineStr">
        <is>
          <t>GitHub</t>
        </is>
      </c>
      <c r="C308" s="10" t="inlineStr">
        <is>
          <t>VLMEvalKit</t>
        </is>
      </c>
      <c r="D308" s="11" t="inlineStr">
        <is>
          <t>https://github.com/open-compass/VLMEvalKit</t>
        </is>
      </c>
      <c r="E308" s="10" t="inlineStr">
        <is>
          <t>Multimodal evaluation</t>
        </is>
      </c>
      <c r="F308" s="10" t="inlineStr">
        <is>
          <t>12. Vision-Language and Multimodal Models</t>
        </is>
      </c>
      <c r="G308" s="10" t="n">
        <v>2023</v>
      </c>
      <c r="H308" s="10" t="inlineStr">
        <is>
          <t>Intermediate</t>
        </is>
      </c>
      <c r="I308" s="10" t="inlineStr">
        <is>
          <t>Active in 2026</t>
        </is>
      </c>
    </row>
    <row r="309">
      <c r="A309" s="10" t="n">
        <v>2024</v>
      </c>
      <c r="B309" s="10" t="inlineStr">
        <is>
          <t>GitHub</t>
        </is>
      </c>
      <c r="C309" s="10" t="inlineStr">
        <is>
          <t>lmms-eval</t>
        </is>
      </c>
      <c r="D309" s="11" t="inlineStr">
        <is>
          <t>https://github.com/EvolvingLMMs-Lab/lmms-eval</t>
        </is>
      </c>
      <c r="E309" s="10" t="inlineStr">
        <is>
          <t>Multimodal evaluation</t>
        </is>
      </c>
      <c r="F309" s="10" t="inlineStr">
        <is>
          <t>12. Vision-Language and Multimodal Models</t>
        </is>
      </c>
      <c r="G309" s="10" t="n">
        <v>2023</v>
      </c>
      <c r="H309" s="10" t="inlineStr">
        <is>
          <t>Intermediate</t>
        </is>
      </c>
      <c r="I309" s="10" t="inlineStr">
        <is>
          <t>Active in 2026</t>
        </is>
      </c>
    </row>
    <row r="310">
      <c r="A310" s="10" t="n">
        <v>2025</v>
      </c>
      <c r="B310" s="10" t="inlineStr">
        <is>
          <t>GitHub</t>
        </is>
      </c>
      <c r="C310" s="10" t="inlineStr">
        <is>
          <t>openpi (Physical Intelligence)</t>
        </is>
      </c>
      <c r="D310" s="11" t="inlineStr">
        <is>
          <t>https://github.com/Physical-Intelligence/openpi</t>
        </is>
      </c>
      <c r="E310" s="10" t="inlineStr">
        <is>
          <t>Vision-language-action models</t>
        </is>
      </c>
      <c r="F310" s="10" t="inlineStr">
        <is>
          <t>13. Embodied AI, World Models and Generative Media</t>
        </is>
      </c>
      <c r="G310" s="10" t="n">
        <v>2023</v>
      </c>
      <c r="H310" s="10" t="inlineStr">
        <is>
          <t>Intermediate</t>
        </is>
      </c>
      <c r="I310" s="10" t="inlineStr">
        <is>
          <t>Active in 2026</t>
        </is>
      </c>
    </row>
    <row r="311">
      <c r="A311" s="10" t="n">
        <v>2025</v>
      </c>
      <c r="B311" s="10" t="inlineStr">
        <is>
          <t>GitHub</t>
        </is>
      </c>
      <c r="C311" s="10" t="inlineStr">
        <is>
          <t>NVIDIA Isaac GR00T</t>
        </is>
      </c>
      <c r="D311" s="11" t="inlineStr">
        <is>
          <t>https://github.com/NVIDIA/Isaac-GR00T</t>
        </is>
      </c>
      <c r="E311" s="10" t="inlineStr">
        <is>
          <t>Vision-language-action models</t>
        </is>
      </c>
      <c r="F311" s="10" t="inlineStr">
        <is>
          <t>13. Embodied AI, World Models and Generative Media</t>
        </is>
      </c>
      <c r="G311" s="10" t="n">
        <v>2023</v>
      </c>
      <c r="H311" s="10" t="inlineStr">
        <is>
          <t>Intermediate</t>
        </is>
      </c>
      <c r="I311" s="10" t="inlineStr">
        <is>
          <t>Active in 2026</t>
        </is>
      </c>
    </row>
    <row r="312">
      <c r="A312" s="10" t="n">
        <v>2024</v>
      </c>
      <c r="B312" s="10" t="inlineStr">
        <is>
          <t>GitHub</t>
        </is>
      </c>
      <c r="C312" s="10" t="inlineStr">
        <is>
          <t>OpenVLA</t>
        </is>
      </c>
      <c r="D312" s="11" t="inlineStr">
        <is>
          <t>https://github.com/openvla/openvla</t>
        </is>
      </c>
      <c r="E312" s="10" t="inlineStr">
        <is>
          <t>Vision-language-action models</t>
        </is>
      </c>
      <c r="F312" s="10" t="inlineStr">
        <is>
          <t>13. Embodied AI, World Models and Generative Media</t>
        </is>
      </c>
      <c r="G312" s="10" t="n">
        <v>2023</v>
      </c>
      <c r="H312" s="10" t="inlineStr">
        <is>
          <t>Intermediate</t>
        </is>
      </c>
      <c r="I312" s="10" t="inlineStr">
        <is>
          <t>Active in 2026</t>
        </is>
      </c>
    </row>
    <row r="313">
      <c r="A313" s="10" t="n">
        <v>2024</v>
      </c>
      <c r="B313" s="10" t="inlineStr">
        <is>
          <t>GitHub</t>
        </is>
      </c>
      <c r="C313" s="10" t="inlineStr">
        <is>
          <t>LeRobot</t>
        </is>
      </c>
      <c r="D313" s="11" t="inlineStr">
        <is>
          <t>https://github.com/huggingface/lerobot</t>
        </is>
      </c>
      <c r="E313" s="10" t="inlineStr">
        <is>
          <t>Vision-language-action models</t>
        </is>
      </c>
      <c r="F313" s="10" t="inlineStr">
        <is>
          <t>13. Embodied AI, World Models and Generative Media</t>
        </is>
      </c>
      <c r="G313" s="10" t="n">
        <v>2023</v>
      </c>
      <c r="H313" s="10" t="inlineStr">
        <is>
          <t>Intermediate</t>
        </is>
      </c>
      <c r="I313" s="10" t="inlineStr">
        <is>
          <t>Active in 2026</t>
        </is>
      </c>
    </row>
    <row r="314">
      <c r="A314" s="10" t="n">
        <v>2025</v>
      </c>
      <c r="B314" s="10" t="inlineStr">
        <is>
          <t>Docs</t>
        </is>
      </c>
      <c r="C314" s="10" t="inlineStr">
        <is>
          <t>Gemini Robotics</t>
        </is>
      </c>
      <c r="D314" s="11" t="inlineStr">
        <is>
          <t>https://deepmind.google/models/gemini-robotics/</t>
        </is>
      </c>
      <c r="E314" s="10" t="inlineStr">
        <is>
          <t>Vision-language-action models</t>
        </is>
      </c>
      <c r="F314" s="10" t="inlineStr">
        <is>
          <t>13. Embodied AI, World Models and Generative Media</t>
        </is>
      </c>
      <c r="G314" s="10" t="n">
        <v>2023</v>
      </c>
      <c r="H314" s="10" t="inlineStr">
        <is>
          <t>Intermediate</t>
        </is>
      </c>
      <c r="I314" s="10" t="inlineStr">
        <is>
          <t>Active in 2026</t>
        </is>
      </c>
    </row>
    <row r="315">
      <c r="A315" s="10" t="n">
        <v>2026</v>
      </c>
      <c r="B315" s="10" t="inlineStr">
        <is>
          <t>Blog</t>
        </is>
      </c>
      <c r="C315" s="10" t="inlineStr">
        <is>
          <t>Metavert: World models for robotics</t>
        </is>
      </c>
      <c r="D315" s="11" t="inlineStr">
        <is>
          <t>https://metavert.io/world-models-for-robotics</t>
        </is>
      </c>
      <c r="E315" s="10" t="inlineStr">
        <is>
          <t>World action models</t>
        </is>
      </c>
      <c r="F315" s="10" t="inlineStr">
        <is>
          <t>13. Embodied AI, World Models and Generative Media</t>
        </is>
      </c>
      <c r="G315" s="10" t="n">
        <v>2026</v>
      </c>
      <c r="H315" s="10" t="inlineStr">
        <is>
          <t>Advanced</t>
        </is>
      </c>
      <c r="I315" s="10" t="inlineStr">
        <is>
          <t>New in 2026</t>
        </is>
      </c>
    </row>
    <row r="316">
      <c r="A316" s="10" t="n">
        <v>2025</v>
      </c>
      <c r="B316" s="10" t="inlineStr">
        <is>
          <t>Blog</t>
        </is>
      </c>
      <c r="C316" s="10" t="inlineStr">
        <is>
          <t>DeepMind: Genie 3</t>
        </is>
      </c>
      <c r="D316" s="11" t="inlineStr">
        <is>
          <t>https://deepmind.google/discover/blog/genie-3-a-new-frontier-for-world-models/</t>
        </is>
      </c>
      <c r="E316" s="10" t="inlineStr">
        <is>
          <t>World models</t>
        </is>
      </c>
      <c r="F316" s="10" t="inlineStr">
        <is>
          <t>13. Embodied AI, World Models and Generative Media</t>
        </is>
      </c>
      <c r="G316" s="10" t="n">
        <v>2018</v>
      </c>
      <c r="H316" s="10" t="inlineStr">
        <is>
          <t>Intermediate</t>
        </is>
      </c>
      <c r="I316" s="10" t="inlineStr">
        <is>
          <t>Active in 2026</t>
        </is>
      </c>
    </row>
    <row r="317">
      <c r="A317" s="10" t="n">
        <v>2025</v>
      </c>
      <c r="B317" s="10" t="inlineStr">
        <is>
          <t>GitHub</t>
        </is>
      </c>
      <c r="C317" s="10" t="inlineStr">
        <is>
          <t>NVIDIA Cosmos</t>
        </is>
      </c>
      <c r="D317" s="11" t="inlineStr">
        <is>
          <t>https://github.com/nvidia-cosmos</t>
        </is>
      </c>
      <c r="E317" s="10" t="inlineStr">
        <is>
          <t>World models</t>
        </is>
      </c>
      <c r="F317" s="10" t="inlineStr">
        <is>
          <t>13. Embodied AI, World Models and Generative Media</t>
        </is>
      </c>
      <c r="G317" s="10" t="n">
        <v>2018</v>
      </c>
      <c r="H317" s="10" t="inlineStr">
        <is>
          <t>Intermediate</t>
        </is>
      </c>
      <c r="I317" s="10" t="inlineStr">
        <is>
          <t>Active in 2026</t>
        </is>
      </c>
    </row>
    <row r="318">
      <c r="A318" s="10" t="n">
        <v>2025</v>
      </c>
      <c r="B318" s="10" t="inlineStr">
        <is>
          <t>Docs</t>
        </is>
      </c>
      <c r="C318" s="10" t="inlineStr">
        <is>
          <t>World Labs Marble</t>
        </is>
      </c>
      <c r="D318" s="11" t="inlineStr">
        <is>
          <t>https://marble.worldlabs.ai</t>
        </is>
      </c>
      <c r="E318" s="10" t="inlineStr">
        <is>
          <t>World models</t>
        </is>
      </c>
      <c r="F318" s="10" t="inlineStr">
        <is>
          <t>13. Embodied AI, World Models and Generative Media</t>
        </is>
      </c>
      <c r="G318" s="10" t="n">
        <v>2018</v>
      </c>
      <c r="H318" s="10" t="inlineStr">
        <is>
          <t>Intermediate</t>
        </is>
      </c>
      <c r="I318" s="10" t="inlineStr">
        <is>
          <t>Active in 2026</t>
        </is>
      </c>
    </row>
    <row r="319">
      <c r="A319" s="10" t="n">
        <v>2025</v>
      </c>
      <c r="B319" s="10" t="inlineStr">
        <is>
          <t>GitHub</t>
        </is>
      </c>
      <c r="C319" s="10" t="inlineStr">
        <is>
          <t>V-JEPA 2</t>
        </is>
      </c>
      <c r="D319" s="11" t="inlineStr">
        <is>
          <t>https://github.com/facebookresearch/vjepa2</t>
        </is>
      </c>
      <c r="E319" s="10" t="inlineStr">
        <is>
          <t>JEPA</t>
        </is>
      </c>
      <c r="F319" s="10" t="inlineStr">
        <is>
          <t>13. Embodied AI, World Models and Generative Media</t>
        </is>
      </c>
      <c r="G319" s="10" t="n">
        <v>2022</v>
      </c>
      <c r="H319" s="10" t="inlineStr">
        <is>
          <t>Advanced</t>
        </is>
      </c>
      <c r="I319" s="10" t="inlineStr">
        <is>
          <t>Active in 2026</t>
        </is>
      </c>
    </row>
    <row r="320">
      <c r="A320" s="10" t="n">
        <v>2026</v>
      </c>
      <c r="B320" s="10" t="inlineStr">
        <is>
          <t>Blog</t>
        </is>
      </c>
      <c r="C320" s="10" t="inlineStr">
        <is>
          <t>VentureBeat: AI research trends for 2026</t>
        </is>
      </c>
      <c r="D320" s="11" t="inlineStr">
        <is>
          <t>https://venturebeat.com/technology/four-ai-research-trends-enterprise-teams-should-watch-in-2026</t>
        </is>
      </c>
      <c r="E320" s="10" t="inlineStr">
        <is>
          <t>JEPA</t>
        </is>
      </c>
      <c r="F320" s="10" t="inlineStr">
        <is>
          <t>13. Embodied AI, World Models and Generative Media</t>
        </is>
      </c>
      <c r="G320" s="10" t="n">
        <v>2022</v>
      </c>
      <c r="H320" s="10" t="inlineStr">
        <is>
          <t>Advanced</t>
        </is>
      </c>
      <c r="I320" s="10" t="inlineStr">
        <is>
          <t>Active in 2026</t>
        </is>
      </c>
    </row>
    <row r="321">
      <c r="A321" s="10" t="n">
        <v>2024</v>
      </c>
      <c r="B321" s="10" t="inlineStr">
        <is>
          <t>GitHub</t>
        </is>
      </c>
      <c r="C321" s="10" t="inlineStr">
        <is>
          <t>Isaac Lab</t>
        </is>
      </c>
      <c r="D321" s="11" t="inlineStr">
        <is>
          <t>https://github.com/isaac-sim/IsaacLab</t>
        </is>
      </c>
      <c r="E321" s="10" t="inlineStr">
        <is>
          <t>Robot simulation and sim-to-real</t>
        </is>
      </c>
      <c r="F321" s="10" t="inlineStr">
        <is>
          <t>13. Embodied AI, World Models and Generative Media</t>
        </is>
      </c>
      <c r="G321" s="10" t="n">
        <v>2012</v>
      </c>
      <c r="H321" s="10" t="inlineStr">
        <is>
          <t>Intermediate</t>
        </is>
      </c>
      <c r="I321" s="10" t="inlineStr">
        <is>
          <t>Active in 2026</t>
        </is>
      </c>
    </row>
    <row r="322">
      <c r="A322" s="10" t="n">
        <v>2021</v>
      </c>
      <c r="B322" s="10" t="inlineStr">
        <is>
          <t>GitHub</t>
        </is>
      </c>
      <c r="C322" s="10" t="inlineStr">
        <is>
          <t>MuJoCo</t>
        </is>
      </c>
      <c r="D322" s="11" t="inlineStr">
        <is>
          <t>https://github.com/google-deepmind/mujoco</t>
        </is>
      </c>
      <c r="E322" s="10" t="inlineStr">
        <is>
          <t>Robot simulation and sim-to-real</t>
        </is>
      </c>
      <c r="F322" s="10" t="inlineStr">
        <is>
          <t>13. Embodied AI, World Models and Generative Media</t>
        </is>
      </c>
      <c r="G322" s="10" t="n">
        <v>2012</v>
      </c>
      <c r="H322" s="10" t="inlineStr">
        <is>
          <t>Intermediate</t>
        </is>
      </c>
      <c r="I322" s="10" t="inlineStr">
        <is>
          <t>Active in 2026</t>
        </is>
      </c>
    </row>
    <row r="323">
      <c r="A323" s="10" t="n">
        <v>2022</v>
      </c>
      <c r="B323" s="10" t="inlineStr">
        <is>
          <t>Paper</t>
        </is>
      </c>
      <c r="C323" s="10" t="inlineStr">
        <is>
          <t>DiT</t>
        </is>
      </c>
      <c r="D323" s="11" t="inlineStr">
        <is>
          <t>https://arxiv.org/abs/2212.09748</t>
        </is>
      </c>
      <c r="E323" s="10" t="inlineStr">
        <is>
          <t>Diffusion transformers and flow matching</t>
        </is>
      </c>
      <c r="F323" s="10" t="inlineStr">
        <is>
          <t>13. Embodied AI, World Models and Generative Media</t>
        </is>
      </c>
      <c r="G323" s="10" t="n">
        <v>2022</v>
      </c>
      <c r="H323" s="10" t="inlineStr">
        <is>
          <t>Advanced</t>
        </is>
      </c>
      <c r="I323" s="10" t="inlineStr">
        <is>
          <t>Active in 2026</t>
        </is>
      </c>
    </row>
    <row r="324">
      <c r="A324" s="10" t="n">
        <v>2022</v>
      </c>
      <c r="B324" s="10" t="inlineStr">
        <is>
          <t>Paper</t>
        </is>
      </c>
      <c r="C324" s="10" t="inlineStr">
        <is>
          <t>Flow matching</t>
        </is>
      </c>
      <c r="D324" s="11" t="inlineStr">
        <is>
          <t>https://arxiv.org/abs/2210.02747</t>
        </is>
      </c>
      <c r="E324" s="10" t="inlineStr">
        <is>
          <t>Diffusion transformers and flow matching</t>
        </is>
      </c>
      <c r="F324" s="10" t="inlineStr">
        <is>
          <t>13. Embodied AI, World Models and Generative Media</t>
        </is>
      </c>
      <c r="G324" s="10" t="n">
        <v>2022</v>
      </c>
      <c r="H324" s="10" t="inlineStr">
        <is>
          <t>Advanced</t>
        </is>
      </c>
      <c r="I324" s="10" t="inlineStr">
        <is>
          <t>Active in 2026</t>
        </is>
      </c>
    </row>
    <row r="325">
      <c r="A325" s="10" t="n">
        <v>2024</v>
      </c>
      <c r="B325" s="10" t="inlineStr">
        <is>
          <t>GitHub</t>
        </is>
      </c>
      <c r="C325" s="10" t="inlineStr">
        <is>
          <t>FLUX</t>
        </is>
      </c>
      <c r="D325" s="11" t="inlineStr">
        <is>
          <t>https://github.com/black-forest-labs/flux</t>
        </is>
      </c>
      <c r="E325" s="10" t="inlineStr">
        <is>
          <t>Diffusion transformers and flow matching</t>
        </is>
      </c>
      <c r="F325" s="10" t="inlineStr">
        <is>
          <t>13. Embodied AI, World Models and Generative Media</t>
        </is>
      </c>
      <c r="G325" s="10" t="n">
        <v>2022</v>
      </c>
      <c r="H325" s="10" t="inlineStr">
        <is>
          <t>Advanced</t>
        </is>
      </c>
      <c r="I325" s="10" t="inlineStr">
        <is>
          <t>Active in 2026</t>
        </is>
      </c>
    </row>
    <row r="326">
      <c r="A326" s="10" t="n">
        <v>2023</v>
      </c>
      <c r="B326" s="10" t="inlineStr">
        <is>
          <t>GitHub</t>
        </is>
      </c>
      <c r="C326" s="10" t="inlineStr">
        <is>
          <t>ComfyUI</t>
        </is>
      </c>
      <c r="D326" s="11" t="inlineStr">
        <is>
          <t>https://github.com/comfyanonymous/ComfyUI</t>
        </is>
      </c>
      <c r="E326" s="10" t="inlineStr">
        <is>
          <t>Diffusion transformers and flow matching</t>
        </is>
      </c>
      <c r="F326" s="10" t="inlineStr">
        <is>
          <t>13. Embodied AI, World Models and Generative Media</t>
        </is>
      </c>
      <c r="G326" s="10" t="n">
        <v>2022</v>
      </c>
      <c r="H326" s="10" t="inlineStr">
        <is>
          <t>Advanced</t>
        </is>
      </c>
      <c r="I326" s="10" t="inlineStr">
        <is>
          <t>Active in 2026</t>
        </is>
      </c>
    </row>
    <row r="327">
      <c r="A327" s="10" t="n">
        <v>2025</v>
      </c>
      <c r="B327" s="10" t="inlineStr">
        <is>
          <t>Blog</t>
        </is>
      </c>
      <c r="C327" s="10" t="inlineStr">
        <is>
          <t>OpenAI: Sora 2</t>
        </is>
      </c>
      <c r="D327" s="11" t="inlineStr">
        <is>
          <t>https://openai.com/index/sora-2/</t>
        </is>
      </c>
      <c r="E327" s="10" t="inlineStr">
        <is>
          <t>Video generation</t>
        </is>
      </c>
      <c r="F327" s="10" t="inlineStr">
        <is>
          <t>13. Embodied AI, World Models and Generative Media</t>
        </is>
      </c>
      <c r="G327" s="10" t="n">
        <v>2024</v>
      </c>
      <c r="H327" s="10" t="inlineStr">
        <is>
          <t>Beginner</t>
        </is>
      </c>
      <c r="I327" s="10" t="inlineStr">
        <is>
          <t>Active in 2026</t>
        </is>
      </c>
    </row>
    <row r="328">
      <c r="A328" s="10" t="n">
        <v>2024</v>
      </c>
      <c r="B328" s="10" t="inlineStr">
        <is>
          <t>Docs</t>
        </is>
      </c>
      <c r="C328" s="10" t="inlineStr">
        <is>
          <t>Google Veo</t>
        </is>
      </c>
      <c r="D328" s="11" t="inlineStr">
        <is>
          <t>https://deepmind.google/models/veo/</t>
        </is>
      </c>
      <c r="E328" s="10" t="inlineStr">
        <is>
          <t>Video generation</t>
        </is>
      </c>
      <c r="F328" s="10" t="inlineStr">
        <is>
          <t>13. Embodied AI, World Models and Generative Media</t>
        </is>
      </c>
      <c r="G328" s="10" t="n">
        <v>2024</v>
      </c>
      <c r="H328" s="10" t="inlineStr">
        <is>
          <t>Beginner</t>
        </is>
      </c>
      <c r="I328" s="10" t="inlineStr">
        <is>
          <t>Active in 2026</t>
        </is>
      </c>
    </row>
    <row r="329">
      <c r="A329" s="10" t="n">
        <v>2025</v>
      </c>
      <c r="B329" s="10" t="inlineStr">
        <is>
          <t>GitHub</t>
        </is>
      </c>
      <c r="C329" s="10" t="inlineStr">
        <is>
          <t>Wan 2.2</t>
        </is>
      </c>
      <c r="D329" s="11" t="inlineStr">
        <is>
          <t>https://github.com/Wan-Video/Wan2.2</t>
        </is>
      </c>
      <c r="E329" s="10" t="inlineStr">
        <is>
          <t>Video generation</t>
        </is>
      </c>
      <c r="F329" s="10" t="inlineStr">
        <is>
          <t>13. Embodied AI, World Models and Generative Media</t>
        </is>
      </c>
      <c r="G329" s="10" t="n">
        <v>2024</v>
      </c>
      <c r="H329" s="10" t="inlineStr">
        <is>
          <t>Beginner</t>
        </is>
      </c>
      <c r="I329" s="10" t="inlineStr">
        <is>
          <t>Active in 2026</t>
        </is>
      </c>
    </row>
    <row r="330">
      <c r="A330" s="10" t="n">
        <v>2025</v>
      </c>
      <c r="B330" s="10" t="inlineStr">
        <is>
          <t>Blog</t>
        </is>
      </c>
      <c r="C330" s="10" t="inlineStr">
        <is>
          <t>DeepMind: AlphaEvolve</t>
        </is>
      </c>
      <c r="D330" s="11" t="inlineStr">
        <is>
          <t>https://deepmind.google/discover/blog/alphaevolve-a-gemini-powered-coding-agent-for-designing-advanced-algorithms/</t>
        </is>
      </c>
      <c r="E330" s="10" t="inlineStr">
        <is>
          <t>AI for science and algorithm discovery</t>
        </is>
      </c>
      <c r="F330" s="10" t="inlineStr">
        <is>
          <t>13. Embodied AI, World Models and Generative Media</t>
        </is>
      </c>
      <c r="G330" s="10" t="n">
        <v>2020</v>
      </c>
      <c r="H330" s="10" t="inlineStr">
        <is>
          <t>Intermediate</t>
        </is>
      </c>
      <c r="I330" s="10" t="inlineStr">
        <is>
          <t>Active in 2026</t>
        </is>
      </c>
    </row>
    <row r="331">
      <c r="A331" s="10" t="n">
        <v>2025</v>
      </c>
      <c r="B331" s="10" t="inlineStr">
        <is>
          <t>GitHub</t>
        </is>
      </c>
      <c r="C331" s="10" t="inlineStr">
        <is>
          <t>OpenEvolve</t>
        </is>
      </c>
      <c r="D331" s="11" t="inlineStr">
        <is>
          <t>https://github.com/codelion/openevolve</t>
        </is>
      </c>
      <c r="E331" s="10" t="inlineStr">
        <is>
          <t>AI for science and algorithm discovery</t>
        </is>
      </c>
      <c r="F331" s="10" t="inlineStr">
        <is>
          <t>13. Embodied AI, World Models and Generative Media</t>
        </is>
      </c>
      <c r="G331" s="10" t="n">
        <v>2020</v>
      </c>
      <c r="H331" s="10" t="inlineStr">
        <is>
          <t>Intermediate</t>
        </is>
      </c>
      <c r="I331" s="10" t="inlineStr">
        <is>
          <t>Active in 2026</t>
        </is>
      </c>
    </row>
    <row r="332">
      <c r="A332" s="10" t="n">
        <v>2024</v>
      </c>
      <c r="B332" s="10" t="inlineStr">
        <is>
          <t>GitHub</t>
        </is>
      </c>
      <c r="C332" s="10" t="inlineStr">
        <is>
          <t>AlphaFold 3</t>
        </is>
      </c>
      <c r="D332" s="11" t="inlineStr">
        <is>
          <t>https://github.com/google-deepmind/alphafold3</t>
        </is>
      </c>
      <c r="E332" s="10" t="inlineStr">
        <is>
          <t>AI for science and algorithm discovery</t>
        </is>
      </c>
      <c r="F332" s="10" t="inlineStr">
        <is>
          <t>13. Embodied AI, World Models and Generative Media</t>
        </is>
      </c>
      <c r="G332" s="10" t="n">
        <v>2020</v>
      </c>
      <c r="H332" s="10" t="inlineStr">
        <is>
          <t>Intermediate</t>
        </is>
      </c>
      <c r="I332" s="10" t="inlineStr">
        <is>
          <t>Active in 2026</t>
        </is>
      </c>
    </row>
    <row r="333">
      <c r="A333" s="10" t="n">
        <v>2026</v>
      </c>
      <c r="B333" s="10" t="inlineStr">
        <is>
          <t>Paper</t>
        </is>
      </c>
      <c r="C333" s="10" t="inlineStr">
        <is>
          <t>EinsteinArena: collective agent discovery</t>
        </is>
      </c>
      <c r="D333" s="11" t="inlineStr">
        <is>
          <t>https://arxiv.org/abs/2606.10402</t>
        </is>
      </c>
      <c r="E333" s="10" t="inlineStr">
        <is>
          <t>AI for science and algorithm discovery</t>
        </is>
      </c>
      <c r="F333" s="10" t="inlineStr">
        <is>
          <t>13. Embodied AI, World Models and Generative Media</t>
        </is>
      </c>
      <c r="G333" s="10" t="n">
        <v>2020</v>
      </c>
      <c r="H333" s="10" t="inlineStr">
        <is>
          <t>Intermediate</t>
        </is>
      </c>
      <c r="I333" s="10" t="inlineStr">
        <is>
          <t>Active in 2026</t>
        </is>
      </c>
    </row>
    <row r="334">
      <c r="A334" s="10" t="n">
        <v>2021</v>
      </c>
      <c r="B334" s="10" t="inlineStr">
        <is>
          <t>GitHub</t>
        </is>
      </c>
      <c r="C334" s="10" t="inlineStr">
        <is>
          <t>lm-evaluation-harness</t>
        </is>
      </c>
      <c r="D334" s="11" t="inlineStr">
        <is>
          <t>https://github.com/EleutherAI/lm-evaluation-harness</t>
        </is>
      </c>
      <c r="E334" s="10" t="inlineStr">
        <is>
          <t>Eval harnesses</t>
        </is>
      </c>
      <c r="F334" s="10" t="inlineStr">
        <is>
          <t>14. Evaluation and Benchmarks</t>
        </is>
      </c>
      <c r="G334" s="10" t="n">
        <v>2021</v>
      </c>
      <c r="H334" s="10" t="inlineStr">
        <is>
          <t>Intermediate</t>
        </is>
      </c>
      <c r="I334" s="10" t="inlineStr">
        <is>
          <t>Active in 2026</t>
        </is>
      </c>
    </row>
    <row r="335">
      <c r="A335" s="10" t="n">
        <v>2024</v>
      </c>
      <c r="B335" s="10" t="inlineStr">
        <is>
          <t>GitHub</t>
        </is>
      </c>
      <c r="C335" s="10" t="inlineStr">
        <is>
          <t>Inspect AI (UK AISI)</t>
        </is>
      </c>
      <c r="D335" s="11" t="inlineStr">
        <is>
          <t>https://github.com/UKGovernmentBEIS/inspect_ai</t>
        </is>
      </c>
      <c r="E335" s="10" t="inlineStr">
        <is>
          <t>Eval harnesses</t>
        </is>
      </c>
      <c r="F335" s="10" t="inlineStr">
        <is>
          <t>14. Evaluation and Benchmarks</t>
        </is>
      </c>
      <c r="G335" s="10" t="n">
        <v>2021</v>
      </c>
      <c r="H335" s="10" t="inlineStr">
        <is>
          <t>Intermediate</t>
        </is>
      </c>
      <c r="I335" s="10" t="inlineStr">
        <is>
          <t>Active in 2026</t>
        </is>
      </c>
    </row>
    <row r="336">
      <c r="A336" s="10" t="n">
        <v>2024</v>
      </c>
      <c r="B336" s="10" t="inlineStr">
        <is>
          <t>GitHub</t>
        </is>
      </c>
      <c r="C336" s="10" t="inlineStr">
        <is>
          <t>inspect_evals</t>
        </is>
      </c>
      <c r="D336" s="11" t="inlineStr">
        <is>
          <t>https://github.com/UKGovernmentBEIS/inspect_evals</t>
        </is>
      </c>
      <c r="E336" s="10" t="inlineStr">
        <is>
          <t>Eval harnesses</t>
        </is>
      </c>
      <c r="F336" s="10" t="inlineStr">
        <is>
          <t>14. Evaluation and Benchmarks</t>
        </is>
      </c>
      <c r="G336" s="10" t="n">
        <v>2021</v>
      </c>
      <c r="H336" s="10" t="inlineStr">
        <is>
          <t>Intermediate</t>
        </is>
      </c>
      <c r="I336" s="10" t="inlineStr">
        <is>
          <t>Active in 2026</t>
        </is>
      </c>
    </row>
    <row r="337">
      <c r="A337" s="10" t="n">
        <v>2024</v>
      </c>
      <c r="B337" s="10" t="inlineStr">
        <is>
          <t>GitHub</t>
        </is>
      </c>
      <c r="C337" s="10" t="inlineStr">
        <is>
          <t>lighteval</t>
        </is>
      </c>
      <c r="D337" s="11" t="inlineStr">
        <is>
          <t>https://github.com/huggingface/lighteval</t>
        </is>
      </c>
      <c r="E337" s="10" t="inlineStr">
        <is>
          <t>Eval harnesses</t>
        </is>
      </c>
      <c r="F337" s="10" t="inlineStr">
        <is>
          <t>14. Evaluation and Benchmarks</t>
        </is>
      </c>
      <c r="G337" s="10" t="n">
        <v>2021</v>
      </c>
      <c r="H337" s="10" t="inlineStr">
        <is>
          <t>Intermediate</t>
        </is>
      </c>
      <c r="I337" s="10" t="inlineStr">
        <is>
          <t>Active in 2026</t>
        </is>
      </c>
    </row>
    <row r="338">
      <c r="A338" s="10" t="n">
        <v>2023</v>
      </c>
      <c r="B338" s="10" t="inlineStr">
        <is>
          <t>GitHub</t>
        </is>
      </c>
      <c r="C338" s="10" t="inlineStr">
        <is>
          <t>promptfoo</t>
        </is>
      </c>
      <c r="D338" s="11" t="inlineStr">
        <is>
          <t>https://github.com/promptfoo/promptfoo</t>
        </is>
      </c>
      <c r="E338" s="10" t="inlineStr">
        <is>
          <t>Eval harnesses</t>
        </is>
      </c>
      <c r="F338" s="10" t="inlineStr">
        <is>
          <t>14. Evaluation and Benchmarks</t>
        </is>
      </c>
      <c r="G338" s="10" t="n">
        <v>2021</v>
      </c>
      <c r="H338" s="10" t="inlineStr">
        <is>
          <t>Intermediate</t>
        </is>
      </c>
      <c r="I338" s="10" t="inlineStr">
        <is>
          <t>Active in 2026</t>
        </is>
      </c>
    </row>
    <row r="339">
      <c r="A339" s="10" t="n">
        <v>2026</v>
      </c>
      <c r="B339" s="10" t="inlineStr">
        <is>
          <t>Blog</t>
        </is>
      </c>
      <c r="C339" s="10" t="inlineStr">
        <is>
          <t>ARC Prize: Announcing ARC-AGI-3</t>
        </is>
      </c>
      <c r="D339" s="11" t="inlineStr">
        <is>
          <t>https://arcprize.org/blog/arc-agi-3-launch</t>
        </is>
      </c>
      <c r="E339" s="10" t="inlineStr">
        <is>
          <t>Harness sensitivity of benchmarks</t>
        </is>
      </c>
      <c r="F339" s="10" t="inlineStr">
        <is>
          <t>14. Evaluation and Benchmarks</t>
        </is>
      </c>
      <c r="G339" s="10" t="n">
        <v>2025</v>
      </c>
      <c r="H339" s="10" t="inlineStr">
        <is>
          <t>Intermediate</t>
        </is>
      </c>
      <c r="I339" s="10" t="inlineStr">
        <is>
          <t>Active in 2026</t>
        </is>
      </c>
    </row>
    <row r="340">
      <c r="A340" s="10" t="n">
        <v>2023</v>
      </c>
      <c r="B340" s="10" t="inlineStr">
        <is>
          <t>Paper</t>
        </is>
      </c>
      <c r="C340" s="10" t="inlineStr">
        <is>
          <t>Judging LLM-as-a-judge</t>
        </is>
      </c>
      <c r="D340" s="11" t="inlineStr">
        <is>
          <t>https://arxiv.org/abs/2306.05685</t>
        </is>
      </c>
      <c r="E340" s="10" t="inlineStr">
        <is>
          <t>LLM-as-a-judge</t>
        </is>
      </c>
      <c r="F340" s="10" t="inlineStr">
        <is>
          <t>14. Evaluation and Benchmarks</t>
        </is>
      </c>
      <c r="G340" s="10" t="n">
        <v>2023</v>
      </c>
      <c r="H340" s="10" t="inlineStr">
        <is>
          <t>Beginner</t>
        </is>
      </c>
      <c r="I340" s="10" t="inlineStr">
        <is>
          <t>Active in 2026</t>
        </is>
      </c>
    </row>
    <row r="341">
      <c r="A341" s="10" t="n">
        <v>2023</v>
      </c>
      <c r="B341" s="10" t="inlineStr">
        <is>
          <t>Docs</t>
        </is>
      </c>
      <c r="C341" s="10" t="inlineStr">
        <is>
          <t>SWE-bench</t>
        </is>
      </c>
      <c r="D341" s="11" t="inlineStr">
        <is>
          <t>https://www.swebench.com</t>
        </is>
      </c>
      <c r="E341" s="10" t="inlineStr">
        <is>
          <t>Agentic coding benchmarks</t>
        </is>
      </c>
      <c r="F341" s="10" t="inlineStr">
        <is>
          <t>14. Evaluation and Benchmarks</t>
        </is>
      </c>
      <c r="G341" s="10" t="n">
        <v>2023</v>
      </c>
      <c r="H341" s="10" t="inlineStr">
        <is>
          <t>Beginner</t>
        </is>
      </c>
      <c r="I341" s="10" t="inlineStr">
        <is>
          <t>Active in 2026</t>
        </is>
      </c>
    </row>
    <row r="342">
      <c r="A342" s="10" t="n">
        <v>2025</v>
      </c>
      <c r="B342" s="10" t="inlineStr">
        <is>
          <t>Docs</t>
        </is>
      </c>
      <c r="C342" s="10" t="inlineStr">
        <is>
          <t>SWE-bench Pro</t>
        </is>
      </c>
      <c r="D342" s="11" t="inlineStr">
        <is>
          <t>https://scale.com/leaderboard/swe_bench_pro_public</t>
        </is>
      </c>
      <c r="E342" s="10" t="inlineStr">
        <is>
          <t>Agentic coding benchmarks</t>
        </is>
      </c>
      <c r="F342" s="10" t="inlineStr">
        <is>
          <t>14. Evaluation and Benchmarks</t>
        </is>
      </c>
      <c r="G342" s="10" t="n">
        <v>2023</v>
      </c>
      <c r="H342" s="10" t="inlineStr">
        <is>
          <t>Beginner</t>
        </is>
      </c>
      <c r="I342" s="10" t="inlineStr">
        <is>
          <t>Active in 2026</t>
        </is>
      </c>
    </row>
    <row r="343">
      <c r="A343" s="10" t="n">
        <v>2025</v>
      </c>
      <c r="B343" s="10" t="inlineStr">
        <is>
          <t>Docs</t>
        </is>
      </c>
      <c r="C343" s="10" t="inlineStr">
        <is>
          <t>Terminal-Bench</t>
        </is>
      </c>
      <c r="D343" s="11" t="inlineStr">
        <is>
          <t>https://www.tbench.ai</t>
        </is>
      </c>
      <c r="E343" s="10" t="inlineStr">
        <is>
          <t>Agentic coding benchmarks</t>
        </is>
      </c>
      <c r="F343" s="10" t="inlineStr">
        <is>
          <t>14. Evaluation and Benchmarks</t>
        </is>
      </c>
      <c r="G343" s="10" t="n">
        <v>2023</v>
      </c>
      <c r="H343" s="10" t="inlineStr">
        <is>
          <t>Beginner</t>
        </is>
      </c>
      <c r="I343" s="10" t="inlineStr">
        <is>
          <t>Active in 2026</t>
        </is>
      </c>
    </row>
    <row r="344">
      <c r="A344" s="10" t="n">
        <v>2026</v>
      </c>
      <c r="B344" s="10" t="inlineStr">
        <is>
          <t>Blog</t>
        </is>
      </c>
      <c r="C344" s="10" t="inlineStr">
        <is>
          <t>ARC Prize: Announcing ARC-AGI-3</t>
        </is>
      </c>
      <c r="D344" s="11" t="inlineStr">
        <is>
          <t>https://arcprize.org/blog/arc-agi-3-launch</t>
        </is>
      </c>
      <c r="E344" s="10" t="inlineStr">
        <is>
          <t>ARC-AGI-3 and interactive reasoning</t>
        </is>
      </c>
      <c r="F344" s="10" t="inlineStr">
        <is>
          <t>14. Evaluation and Benchmarks</t>
        </is>
      </c>
      <c r="G344" s="10" t="n">
        <v>2026</v>
      </c>
      <c r="H344" s="10" t="inlineStr">
        <is>
          <t>Intermediate</t>
        </is>
      </c>
      <c r="I344" s="10" t="inlineStr">
        <is>
          <t>New in 2026</t>
        </is>
      </c>
    </row>
    <row r="345">
      <c r="A345" s="10" t="n">
        <v>2019</v>
      </c>
      <c r="B345" s="10" t="inlineStr">
        <is>
          <t>Docs</t>
        </is>
      </c>
      <c r="C345" s="10" t="inlineStr">
        <is>
          <t>ARC Prize</t>
        </is>
      </c>
      <c r="D345" s="11" t="inlineStr">
        <is>
          <t>https://arcprize.org</t>
        </is>
      </c>
      <c r="E345" s="10" t="inlineStr">
        <is>
          <t>ARC-AGI-3 and interactive reasoning</t>
        </is>
      </c>
      <c r="F345" s="10" t="inlineStr">
        <is>
          <t>14. Evaluation and Benchmarks</t>
        </is>
      </c>
      <c r="G345" s="10" t="n">
        <v>2026</v>
      </c>
      <c r="H345" s="10" t="inlineStr">
        <is>
          <t>Intermediate</t>
        </is>
      </c>
      <c r="I345" s="10" t="inlineStr">
        <is>
          <t>New in 2026</t>
        </is>
      </c>
    </row>
    <row r="346">
      <c r="A346" s="10" t="n">
        <v>2026</v>
      </c>
      <c r="B346" s="10" t="inlineStr">
        <is>
          <t>Blog</t>
        </is>
      </c>
      <c r="C346" s="10" t="inlineStr">
        <is>
          <t>DataCamp: ARC-AGI-3 explained</t>
        </is>
      </c>
      <c r="D346" s="11" t="inlineStr">
        <is>
          <t>https://www.datacamp.com/blog/arc-agi-3</t>
        </is>
      </c>
      <c r="E346" s="10" t="inlineStr">
        <is>
          <t>ARC-AGI-3 and interactive reasoning</t>
        </is>
      </c>
      <c r="F346" s="10" t="inlineStr">
        <is>
          <t>14. Evaluation and Benchmarks</t>
        </is>
      </c>
      <c r="G346" s="10" t="n">
        <v>2026</v>
      </c>
      <c r="H346" s="10" t="inlineStr">
        <is>
          <t>Intermediate</t>
        </is>
      </c>
      <c r="I346" s="10" t="inlineStr">
        <is>
          <t>New in 2026</t>
        </is>
      </c>
    </row>
    <row r="347">
      <c r="A347" s="10" t="n">
        <v>2025</v>
      </c>
      <c r="B347" s="10" t="inlineStr">
        <is>
          <t>GitHub</t>
        </is>
      </c>
      <c r="C347" s="10" t="inlineStr">
        <is>
          <t>tau2-bench</t>
        </is>
      </c>
      <c r="D347" s="11" t="inlineStr">
        <is>
          <t>https://github.com/sierra-research/tau2-bench</t>
        </is>
      </c>
      <c r="E347" s="10" t="inlineStr">
        <is>
          <t>Agent and tool-use benchmarks</t>
        </is>
      </c>
      <c r="F347" s="10" t="inlineStr">
        <is>
          <t>14. Evaluation and Benchmarks</t>
        </is>
      </c>
      <c r="G347" s="10" t="n">
        <v>2024</v>
      </c>
      <c r="H347" s="10" t="inlineStr">
        <is>
          <t>Intermediate</t>
        </is>
      </c>
      <c r="I347" s="10" t="inlineStr">
        <is>
          <t>Active in 2026</t>
        </is>
      </c>
    </row>
    <row r="348">
      <c r="A348" s="10" t="n">
        <v>2024</v>
      </c>
      <c r="B348" s="10" t="inlineStr">
        <is>
          <t>Docs</t>
        </is>
      </c>
      <c r="C348" s="10" t="inlineStr">
        <is>
          <t>OSWorld</t>
        </is>
      </c>
      <c r="D348" s="11" t="inlineStr">
        <is>
          <t>https://os-world.github.io</t>
        </is>
      </c>
      <c r="E348" s="10" t="inlineStr">
        <is>
          <t>Agent and tool-use benchmarks</t>
        </is>
      </c>
      <c r="F348" s="10" t="inlineStr">
        <is>
          <t>14. Evaluation and Benchmarks</t>
        </is>
      </c>
      <c r="G348" s="10" t="n">
        <v>2024</v>
      </c>
      <c r="H348" s="10" t="inlineStr">
        <is>
          <t>Intermediate</t>
        </is>
      </c>
      <c r="I348" s="10" t="inlineStr">
        <is>
          <t>Active in 2026</t>
        </is>
      </c>
    </row>
    <row r="349">
      <c r="A349" s="10" t="n">
        <v>2025</v>
      </c>
      <c r="B349" s="10" t="inlineStr">
        <is>
          <t>Blog</t>
        </is>
      </c>
      <c r="C349" s="10" t="inlineStr">
        <is>
          <t>BrowseComp</t>
        </is>
      </c>
      <c r="D349" s="11" t="inlineStr">
        <is>
          <t>https://openai.com/index/browsecomp/</t>
        </is>
      </c>
      <c r="E349" s="10" t="inlineStr">
        <is>
          <t>Agent and tool-use benchmarks</t>
        </is>
      </c>
      <c r="F349" s="10" t="inlineStr">
        <is>
          <t>14. Evaluation and Benchmarks</t>
        </is>
      </c>
      <c r="G349" s="10" t="n">
        <v>2024</v>
      </c>
      <c r="H349" s="10" t="inlineStr">
        <is>
          <t>Intermediate</t>
        </is>
      </c>
      <c r="I349" s="10" t="inlineStr">
        <is>
          <t>Active in 2026</t>
        </is>
      </c>
    </row>
    <row r="350">
      <c r="A350" s="10" t="n">
        <v>2025</v>
      </c>
      <c r="B350" s="10" t="inlineStr">
        <is>
          <t>Docs</t>
        </is>
      </c>
      <c r="C350" s="10" t="inlineStr">
        <is>
          <t>Humanity's Last Exam</t>
        </is>
      </c>
      <c r="D350" s="11" t="inlineStr">
        <is>
          <t>https://lastexam.ai</t>
        </is>
      </c>
      <c r="E350" s="10" t="inlineStr">
        <is>
          <t>Frontier knowledge benchmarks</t>
        </is>
      </c>
      <c r="F350" s="10" t="inlineStr">
        <is>
          <t>14. Evaluation and Benchmarks</t>
        </is>
      </c>
      <c r="G350" s="10" t="n">
        <v>2023</v>
      </c>
      <c r="H350" s="10" t="inlineStr">
        <is>
          <t>Intermediate</t>
        </is>
      </c>
      <c r="I350" s="10" t="inlineStr">
        <is>
          <t>Active in 2026</t>
        </is>
      </c>
    </row>
    <row r="351">
      <c r="A351" s="10" t="n">
        <v>2023</v>
      </c>
      <c r="B351" s="10" t="inlineStr">
        <is>
          <t>GitHub</t>
        </is>
      </c>
      <c r="C351" s="10" t="inlineStr">
        <is>
          <t>GPQA</t>
        </is>
      </c>
      <c r="D351" s="11" t="inlineStr">
        <is>
          <t>https://github.com/idavidrein/gpqa</t>
        </is>
      </c>
      <c r="E351" s="10" t="inlineStr">
        <is>
          <t>Frontier knowledge benchmarks</t>
        </is>
      </c>
      <c r="F351" s="10" t="inlineStr">
        <is>
          <t>14. Evaluation and Benchmarks</t>
        </is>
      </c>
      <c r="G351" s="10" t="n">
        <v>2023</v>
      </c>
      <c r="H351" s="10" t="inlineStr">
        <is>
          <t>Intermediate</t>
        </is>
      </c>
      <c r="I351" s="10" t="inlineStr">
        <is>
          <t>Active in 2026</t>
        </is>
      </c>
    </row>
    <row r="352">
      <c r="A352" s="10" t="n">
        <v>2024</v>
      </c>
      <c r="B352" s="10" t="inlineStr">
        <is>
          <t>Docs</t>
        </is>
      </c>
      <c r="C352" s="10" t="inlineStr">
        <is>
          <t>FrontierMath</t>
        </is>
      </c>
      <c r="D352" s="11" t="inlineStr">
        <is>
          <t>https://epoch.ai/frontiermath</t>
        </is>
      </c>
      <c r="E352" s="10" t="inlineStr">
        <is>
          <t>Frontier knowledge benchmarks</t>
        </is>
      </c>
      <c r="F352" s="10" t="inlineStr">
        <is>
          <t>14. Evaluation and Benchmarks</t>
        </is>
      </c>
      <c r="G352" s="10" t="n">
        <v>2023</v>
      </c>
      <c r="H352" s="10" t="inlineStr">
        <is>
          <t>Intermediate</t>
        </is>
      </c>
      <c r="I352" s="10" t="inlineStr">
        <is>
          <t>Active in 2026</t>
        </is>
      </c>
    </row>
    <row r="353">
      <c r="A353" s="10" t="n">
        <v>2025</v>
      </c>
      <c r="B353" s="10" t="inlineStr">
        <is>
          <t>Blog</t>
        </is>
      </c>
      <c r="C353" s="10" t="inlineStr">
        <is>
          <t>OpenAI: GDPval</t>
        </is>
      </c>
      <c r="D353" s="11" t="inlineStr">
        <is>
          <t>https://openai.com/index/gdpval/</t>
        </is>
      </c>
      <c r="E353" s="10" t="inlineStr">
        <is>
          <t>Economic value evals</t>
        </is>
      </c>
      <c r="F353" s="10" t="inlineStr">
        <is>
          <t>14. Evaluation and Benchmarks</t>
        </is>
      </c>
      <c r="G353" s="10" t="n">
        <v>2025</v>
      </c>
      <c r="H353" s="10" t="inlineStr">
        <is>
          <t>Beginner</t>
        </is>
      </c>
      <c r="I353" s="10" t="inlineStr">
        <is>
          <t>Active in 2026</t>
        </is>
      </c>
    </row>
    <row r="354">
      <c r="A354" s="10" t="n">
        <v>2025</v>
      </c>
      <c r="B354" s="10" t="inlineStr">
        <is>
          <t>Blog</t>
        </is>
      </c>
      <c r="C354" s="10" t="inlineStr">
        <is>
          <t>METR: Measuring long tasks</t>
        </is>
      </c>
      <c r="D354" s="11" t="inlineStr">
        <is>
          <t>https://metr.org/blog/2025-03-19-measuring-ai-ability-to-complete-long-tasks/</t>
        </is>
      </c>
      <c r="E354" s="10" t="inlineStr">
        <is>
          <t>Task time horizon</t>
        </is>
      </c>
      <c r="F354" s="10" t="inlineStr">
        <is>
          <t>14. Evaluation and Benchmarks</t>
        </is>
      </c>
      <c r="G354" s="10" t="n">
        <v>2025</v>
      </c>
      <c r="H354" s="10" t="inlineStr">
        <is>
          <t>Intermediate</t>
        </is>
      </c>
      <c r="I354" s="10" t="inlineStr">
        <is>
          <t>Active in 2026</t>
        </is>
      </c>
    </row>
    <row r="355">
      <c r="A355" s="10" t="n">
        <v>2023</v>
      </c>
      <c r="B355" s="10" t="inlineStr">
        <is>
          <t>Docs</t>
        </is>
      </c>
      <c r="C355" s="10" t="inlineStr">
        <is>
          <t>LMArena</t>
        </is>
      </c>
      <c r="D355" s="11" t="inlineStr">
        <is>
          <t>https://lmarena.ai</t>
        </is>
      </c>
      <c r="E355" s="10" t="inlineStr">
        <is>
          <t>Leaderboards and trackers</t>
        </is>
      </c>
      <c r="F355" s="10" t="inlineStr">
        <is>
          <t>14. Evaluation and Benchmarks</t>
        </is>
      </c>
      <c r="G355" s="10" t="n">
        <v>2023</v>
      </c>
      <c r="H355" s="10" t="inlineStr">
        <is>
          <t>Beginner</t>
        </is>
      </c>
      <c r="I355" s="10" t="inlineStr">
        <is>
          <t>Active in 2026</t>
        </is>
      </c>
    </row>
    <row r="356">
      <c r="A356" s="10" t="n">
        <v>2024</v>
      </c>
      <c r="B356" s="10" t="inlineStr">
        <is>
          <t>Docs</t>
        </is>
      </c>
      <c r="C356" s="10" t="inlineStr">
        <is>
          <t>Epoch AI benchmarks</t>
        </is>
      </c>
      <c r="D356" s="11" t="inlineStr">
        <is>
          <t>https://epoch.ai/benchmarks</t>
        </is>
      </c>
      <c r="E356" s="10" t="inlineStr">
        <is>
          <t>Leaderboards and trackers</t>
        </is>
      </c>
      <c r="F356" s="10" t="inlineStr">
        <is>
          <t>14. Evaluation and Benchmarks</t>
        </is>
      </c>
      <c r="G356" s="10" t="n">
        <v>2023</v>
      </c>
      <c r="H356" s="10" t="inlineStr">
        <is>
          <t>Beginner</t>
        </is>
      </c>
      <c r="I356" s="10" t="inlineStr">
        <is>
          <t>Active in 2026</t>
        </is>
      </c>
    </row>
    <row r="357">
      <c r="A357" s="10" t="n">
        <v>2024</v>
      </c>
      <c r="B357" s="10" t="inlineStr">
        <is>
          <t>Docs</t>
        </is>
      </c>
      <c r="C357" s="10" t="inlineStr">
        <is>
          <t>Artificial Analysis</t>
        </is>
      </c>
      <c r="D357" s="11" t="inlineStr">
        <is>
          <t>https://artificialanalysis.ai</t>
        </is>
      </c>
      <c r="E357" s="10" t="inlineStr">
        <is>
          <t>Leaderboards and trackers</t>
        </is>
      </c>
      <c r="F357" s="10" t="inlineStr">
        <is>
          <t>14. Evaluation and Benchmarks</t>
        </is>
      </c>
      <c r="G357" s="10" t="n">
        <v>2023</v>
      </c>
      <c r="H357" s="10" t="inlineStr">
        <is>
          <t>Beginner</t>
        </is>
      </c>
      <c r="I357" s="10" t="inlineStr">
        <is>
          <t>Active in 2026</t>
        </is>
      </c>
    </row>
    <row r="358">
      <c r="A358" s="10" t="n">
        <v>2024</v>
      </c>
      <c r="B358" s="10" t="inlineStr">
        <is>
          <t>Docs</t>
        </is>
      </c>
      <c r="C358" s="10" t="inlineStr">
        <is>
          <t>Epoch AI benchmarks</t>
        </is>
      </c>
      <c r="D358" s="11" t="inlineStr">
        <is>
          <t>https://epoch.ai/benchmarks</t>
        </is>
      </c>
      <c r="E358" s="10" t="inlineStr">
        <is>
          <t>Contamination and saturation</t>
        </is>
      </c>
      <c r="F358" s="10" t="inlineStr">
        <is>
          <t>14. Evaluation and Benchmarks</t>
        </is>
      </c>
      <c r="G358" s="10" t="n">
        <v>2023</v>
      </c>
      <c r="H358" s="10" t="inlineStr">
        <is>
          <t>Intermediate</t>
        </is>
      </c>
      <c r="I358" s="10" t="inlineStr">
        <is>
          <t>Active in 2026</t>
        </is>
      </c>
    </row>
    <row r="359">
      <c r="A359" s="10" t="n">
        <v>2023</v>
      </c>
      <c r="B359" s="10" t="inlineStr">
        <is>
          <t>Docs</t>
        </is>
      </c>
      <c r="C359" s="10" t="inlineStr">
        <is>
          <t>Anthropic Responsible Scaling Policy</t>
        </is>
      </c>
      <c r="D359" s="11" t="inlineStr">
        <is>
          <t>https://www.anthropic.com/responsible-scaling-policy</t>
        </is>
      </c>
      <c r="E359" s="10" t="inlineStr">
        <is>
          <t>Capability thresholds and frontier safety frameworks</t>
        </is>
      </c>
      <c r="F359" s="10" t="inlineStr">
        <is>
          <t>15. Safety, Security, Interpretability and Governance</t>
        </is>
      </c>
      <c r="G359" s="10" t="n">
        <v>2023</v>
      </c>
      <c r="H359" s="10" t="inlineStr">
        <is>
          <t>Intermediate</t>
        </is>
      </c>
      <c r="I359" s="10" t="inlineStr">
        <is>
          <t>Active in 2026</t>
        </is>
      </c>
    </row>
    <row r="360">
      <c r="A360" s="10" t="n">
        <v>2025</v>
      </c>
      <c r="B360" s="10" t="inlineStr">
        <is>
          <t>Blog</t>
        </is>
      </c>
      <c r="C360" s="10" t="inlineStr">
        <is>
          <t>OpenAI Preparedness Framework</t>
        </is>
      </c>
      <c r="D360" s="11" t="inlineStr">
        <is>
          <t>https://openai.com/index/updating-our-preparedness-framework/</t>
        </is>
      </c>
      <c r="E360" s="10" t="inlineStr">
        <is>
          <t>Capability thresholds and frontier safety frameworks</t>
        </is>
      </c>
      <c r="F360" s="10" t="inlineStr">
        <is>
          <t>15. Safety, Security, Interpretability and Governance</t>
        </is>
      </c>
      <c r="G360" s="10" t="n">
        <v>2023</v>
      </c>
      <c r="H360" s="10" t="inlineStr">
        <is>
          <t>Intermediate</t>
        </is>
      </c>
      <c r="I360" s="10" t="inlineStr">
        <is>
          <t>Active in 2026</t>
        </is>
      </c>
    </row>
    <row r="361">
      <c r="A361" s="10" t="n">
        <v>2026</v>
      </c>
      <c r="B361" s="10" t="inlineStr">
        <is>
          <t>Blog</t>
        </is>
      </c>
      <c r="C361" s="10" t="inlineStr">
        <is>
          <t>OpenAI: Path to Astra</t>
        </is>
      </c>
      <c r="D361" s="11" t="inlineStr">
        <is>
          <t>https://openai.com/index/path-to-astra/</t>
        </is>
      </c>
      <c r="E361" s="10" t="inlineStr">
        <is>
          <t>Capability thresholds and frontier safety frameworks</t>
        </is>
      </c>
      <c r="F361" s="10" t="inlineStr">
        <is>
          <t>15. Safety, Security, Interpretability and Governance</t>
        </is>
      </c>
      <c r="G361" s="10" t="n">
        <v>2023</v>
      </c>
      <c r="H361" s="10" t="inlineStr">
        <is>
          <t>Intermediate</t>
        </is>
      </c>
      <c r="I361" s="10" t="inlineStr">
        <is>
          <t>Active in 2026</t>
        </is>
      </c>
    </row>
    <row r="362">
      <c r="A362" s="10" t="n">
        <v>2024</v>
      </c>
      <c r="B362" s="10" t="inlineStr">
        <is>
          <t>Docs</t>
        </is>
      </c>
      <c r="C362" s="10" t="inlineStr">
        <is>
          <t>METR: frontier AI safety policies</t>
        </is>
      </c>
      <c r="D362" s="11" t="inlineStr">
        <is>
          <t>https://metr.org/faisc</t>
        </is>
      </c>
      <c r="E362" s="10" t="inlineStr">
        <is>
          <t>Capability thresholds and frontier safety frameworks</t>
        </is>
      </c>
      <c r="F362" s="10" t="inlineStr">
        <is>
          <t>15. Safety, Security, Interpretability and Governance</t>
        </is>
      </c>
      <c r="G362" s="10" t="n">
        <v>2023</v>
      </c>
      <c r="H362" s="10" t="inlineStr">
        <is>
          <t>Intermediate</t>
        </is>
      </c>
      <c r="I362" s="10" t="inlineStr">
        <is>
          <t>Active in 2026</t>
        </is>
      </c>
    </row>
    <row r="363">
      <c r="A363" s="10" t="n">
        <v>2026</v>
      </c>
      <c r="B363" s="10" t="inlineStr">
        <is>
          <t>Docs</t>
        </is>
      </c>
      <c r="C363" s="10" t="inlineStr">
        <is>
          <t>Anthropic Project Glasswing</t>
        </is>
      </c>
      <c r="D363" s="11" t="inlineStr">
        <is>
          <t>https://www.anthropic.com/glasswing</t>
        </is>
      </c>
      <c r="E363" s="10" t="inlineStr">
        <is>
          <t>AI for cyber defense</t>
        </is>
      </c>
      <c r="F363" s="10" t="inlineStr">
        <is>
          <t>15. Safety, Security, Interpretability and Governance</t>
        </is>
      </c>
      <c r="G363" s="10" t="n">
        <v>2025</v>
      </c>
      <c r="H363" s="10" t="inlineStr">
        <is>
          <t>Intermediate</t>
        </is>
      </c>
      <c r="I363" s="10" t="inlineStr">
        <is>
          <t>Active in 2026</t>
        </is>
      </c>
    </row>
    <row r="364">
      <c r="A364" s="10" t="n">
        <v>2026</v>
      </c>
      <c r="B364" s="10" t="inlineStr">
        <is>
          <t>Docs</t>
        </is>
      </c>
      <c r="C364" s="10" t="inlineStr">
        <is>
          <t>Anthropic statement on Fable and Mythos access</t>
        </is>
      </c>
      <c r="D364" s="11" t="inlineStr">
        <is>
          <t>https://www.anthropic.com/news/fable-mythos-access</t>
        </is>
      </c>
      <c r="E364" s="10" t="inlineStr">
        <is>
          <t>Export controls on frontier models</t>
        </is>
      </c>
      <c r="F364" s="10" t="inlineStr">
        <is>
          <t>15. Safety, Security, Interpretability and Governance</t>
        </is>
      </c>
      <c r="G364" s="10" t="n">
        <v>2026</v>
      </c>
      <c r="H364" s="10" t="inlineStr">
        <is>
          <t>Beginner</t>
        </is>
      </c>
      <c r="I364" s="10" t="inlineStr">
        <is>
          <t>New in 2026</t>
        </is>
      </c>
    </row>
    <row r="365">
      <c r="A365" s="10" t="n">
        <v>2025</v>
      </c>
      <c r="B365" s="10" t="inlineStr">
        <is>
          <t>Blog</t>
        </is>
      </c>
      <c r="C365" s="10" t="inlineStr">
        <is>
          <t>Simon Willison: The lethal trifecta</t>
        </is>
      </c>
      <c r="D365" s="11" t="inlineStr">
        <is>
          <t>https://simonwillison.net/2025/Jun/16/the-lethal-trifecta/</t>
        </is>
      </c>
      <c r="E365" s="10" t="inlineStr">
        <is>
          <t>Prompt injection and the lethal trifecta</t>
        </is>
      </c>
      <c r="F365" s="10" t="inlineStr">
        <is>
          <t>15. Safety, Security, Interpretability and Governance</t>
        </is>
      </c>
      <c r="G365" s="10" t="n">
        <v>2022</v>
      </c>
      <c r="H365" s="10" t="inlineStr">
        <is>
          <t>Beginner</t>
        </is>
      </c>
      <c r="I365" s="10" t="inlineStr">
        <is>
          <t>Active in 2026</t>
        </is>
      </c>
    </row>
    <row r="366">
      <c r="A366" s="10" t="n">
        <v>2022</v>
      </c>
      <c r="B366" s="10" t="inlineStr">
        <is>
          <t>Blog</t>
        </is>
      </c>
      <c r="C366" s="10" t="inlineStr">
        <is>
          <t>Simon Willison: prompt injection series</t>
        </is>
      </c>
      <c r="D366" s="11" t="inlineStr">
        <is>
          <t>https://simonwillison.net/series/prompt-injection/</t>
        </is>
      </c>
      <c r="E366" s="10" t="inlineStr">
        <is>
          <t>Prompt injection and the lethal trifecta</t>
        </is>
      </c>
      <c r="F366" s="10" t="inlineStr">
        <is>
          <t>15. Safety, Security, Interpretability and Governance</t>
        </is>
      </c>
      <c r="G366" s="10" t="n">
        <v>2022</v>
      </c>
      <c r="H366" s="10" t="inlineStr">
        <is>
          <t>Beginner</t>
        </is>
      </c>
      <c r="I366" s="10" t="inlineStr">
        <is>
          <t>Active in 2026</t>
        </is>
      </c>
    </row>
    <row r="367">
      <c r="A367" s="10" t="n">
        <v>2025</v>
      </c>
      <c r="B367" s="10" t="inlineStr">
        <is>
          <t>Paper</t>
        </is>
      </c>
      <c r="C367" s="10" t="inlineStr">
        <is>
          <t>CaMeL</t>
        </is>
      </c>
      <c r="D367" s="11" t="inlineStr">
        <is>
          <t>https://arxiv.org/abs/2503.18813</t>
        </is>
      </c>
      <c r="E367" s="10" t="inlineStr">
        <is>
          <t>Prompt injection and the lethal trifecta</t>
        </is>
      </c>
      <c r="F367" s="10" t="inlineStr">
        <is>
          <t>15. Safety, Security, Interpretability and Governance</t>
        </is>
      </c>
      <c r="G367" s="10" t="n">
        <v>2022</v>
      </c>
      <c r="H367" s="10" t="inlineStr">
        <is>
          <t>Beginner</t>
        </is>
      </c>
      <c r="I367" s="10" t="inlineStr">
        <is>
          <t>Active in 2026</t>
        </is>
      </c>
    </row>
    <row r="368">
      <c r="A368" s="10" t="n">
        <v>2025</v>
      </c>
      <c r="B368" s="10" t="inlineStr">
        <is>
          <t>Blog</t>
        </is>
      </c>
      <c r="C368" s="10" t="inlineStr">
        <is>
          <t>Invariant Labs: MCP tool poisoning</t>
        </is>
      </c>
      <c r="D368" s="11" t="inlineStr">
        <is>
          <t>https://invariantlabs.ai/blog/mcp-security-notification-tool-poisoning-attacks</t>
        </is>
      </c>
      <c r="E368" s="10" t="inlineStr">
        <is>
          <t>MCP and tool security</t>
        </is>
      </c>
      <c r="F368" s="10" t="inlineStr">
        <is>
          <t>15. Safety, Security, Interpretability and Governance</t>
        </is>
      </c>
      <c r="G368" s="10" t="n">
        <v>2025</v>
      </c>
      <c r="H368" s="10" t="inlineStr">
        <is>
          <t>Intermediate</t>
        </is>
      </c>
      <c r="I368" s="10" t="inlineStr">
        <is>
          <t>Active in 2026</t>
        </is>
      </c>
    </row>
    <row r="369">
      <c r="A369" s="10" t="n">
        <v>2023</v>
      </c>
      <c r="B369" s="10" t="inlineStr">
        <is>
          <t>Docs</t>
        </is>
      </c>
      <c r="C369" s="10" t="inlineStr">
        <is>
          <t>OWASP GenAI Security Project</t>
        </is>
      </c>
      <c r="D369" s="11" t="inlineStr">
        <is>
          <t>https://genai.owasp.org/llm-top-10/</t>
        </is>
      </c>
      <c r="E369" s="10" t="inlineStr">
        <is>
          <t>MCP and tool security</t>
        </is>
      </c>
      <c r="F369" s="10" t="inlineStr">
        <is>
          <t>15. Safety, Security, Interpretability and Governance</t>
        </is>
      </c>
      <c r="G369" s="10" t="n">
        <v>2025</v>
      </c>
      <c r="H369" s="10" t="inlineStr">
        <is>
          <t>Intermediate</t>
        </is>
      </c>
      <c r="I369" s="10" t="inlineStr">
        <is>
          <t>Active in 2026</t>
        </is>
      </c>
    </row>
    <row r="370">
      <c r="A370" s="10" t="n">
        <v>2025</v>
      </c>
      <c r="B370" s="10" t="inlineStr">
        <is>
          <t>Blog</t>
        </is>
      </c>
      <c r="C370" s="10" t="inlineStr">
        <is>
          <t>Anthropic: Constitutional classifiers</t>
        </is>
      </c>
      <c r="D370" s="11" t="inlineStr">
        <is>
          <t>https://www.anthropic.com/research/constitutional-classifiers</t>
        </is>
      </c>
      <c r="E370" s="10" t="inlineStr">
        <is>
          <t>Guardrails and classifiers</t>
        </is>
      </c>
      <c r="F370" s="10" t="inlineStr">
        <is>
          <t>15. Safety, Security, Interpretability and Governance</t>
        </is>
      </c>
      <c r="G370" s="10" t="n">
        <v>2023</v>
      </c>
      <c r="H370" s="10" t="inlineStr">
        <is>
          <t>Intermediate</t>
        </is>
      </c>
      <c r="I370" s="10" t="inlineStr">
        <is>
          <t>Active in 2026</t>
        </is>
      </c>
    </row>
    <row r="371">
      <c r="A371" s="10" t="n">
        <v>2023</v>
      </c>
      <c r="B371" s="10" t="inlineStr">
        <is>
          <t>GitHub</t>
        </is>
      </c>
      <c r="C371" s="10" t="inlineStr">
        <is>
          <t>NeMo Guardrails</t>
        </is>
      </c>
      <c r="D371" s="11" t="inlineStr">
        <is>
          <t>https://github.com/NVIDIA/NeMo-Guardrails</t>
        </is>
      </c>
      <c r="E371" s="10" t="inlineStr">
        <is>
          <t>Guardrails and classifiers</t>
        </is>
      </c>
      <c r="F371" s="10" t="inlineStr">
        <is>
          <t>15. Safety, Security, Interpretability and Governance</t>
        </is>
      </c>
      <c r="G371" s="10" t="n">
        <v>2023</v>
      </c>
      <c r="H371" s="10" t="inlineStr">
        <is>
          <t>Intermediate</t>
        </is>
      </c>
      <c r="I371" s="10" t="inlineStr">
        <is>
          <t>Active in 2026</t>
        </is>
      </c>
    </row>
    <row r="372">
      <c r="A372" s="10" t="n">
        <v>2023</v>
      </c>
      <c r="B372" s="10" t="inlineStr">
        <is>
          <t>GitHub</t>
        </is>
      </c>
      <c r="C372" s="10" t="inlineStr">
        <is>
          <t>Guardrails AI</t>
        </is>
      </c>
      <c r="D372" s="11" t="inlineStr">
        <is>
          <t>https://github.com/guardrails-ai/guardrails</t>
        </is>
      </c>
      <c r="E372" s="10" t="inlineStr">
        <is>
          <t>Guardrails and classifiers</t>
        </is>
      </c>
      <c r="F372" s="10" t="inlineStr">
        <is>
          <t>15. Safety, Security, Interpretability and Governance</t>
        </is>
      </c>
      <c r="G372" s="10" t="n">
        <v>2023</v>
      </c>
      <c r="H372" s="10" t="inlineStr">
        <is>
          <t>Intermediate</t>
        </is>
      </c>
      <c r="I372" s="10" t="inlineStr">
        <is>
          <t>Active in 2026</t>
        </is>
      </c>
    </row>
    <row r="373">
      <c r="A373" s="10" t="n">
        <v>2021</v>
      </c>
      <c r="B373" s="10" t="inlineStr">
        <is>
          <t>Docs</t>
        </is>
      </c>
      <c r="C373" s="10" t="inlineStr">
        <is>
          <t>Transformer Circuits</t>
        </is>
      </c>
      <c r="D373" s="11" t="inlineStr">
        <is>
          <t>https://transformer-circuits.pub</t>
        </is>
      </c>
      <c r="E373" s="10" t="inlineStr">
        <is>
          <t>Mechanistic interpretability</t>
        </is>
      </c>
      <c r="F373" s="10" t="inlineStr">
        <is>
          <t>15. Safety, Security, Interpretability and Governance</t>
        </is>
      </c>
      <c r="G373" s="10" t="n">
        <v>2020</v>
      </c>
      <c r="H373" s="10" t="inlineStr">
        <is>
          <t>Advanced</t>
        </is>
      </c>
      <c r="I373" s="10" t="inlineStr">
        <is>
          <t>Active in 2026</t>
        </is>
      </c>
    </row>
    <row r="374">
      <c r="A374" s="10" t="n">
        <v>2025</v>
      </c>
      <c r="B374" s="10" t="inlineStr">
        <is>
          <t>Blog</t>
        </is>
      </c>
      <c r="C374" s="10" t="inlineStr">
        <is>
          <t>Circuit tracing</t>
        </is>
      </c>
      <c r="D374" s="11" t="inlineStr">
        <is>
          <t>https://transformer-circuits.pub/2025/attribution-graphs/methods.html</t>
        </is>
      </c>
      <c r="E374" s="10" t="inlineStr">
        <is>
          <t>Mechanistic interpretability</t>
        </is>
      </c>
      <c r="F374" s="10" t="inlineStr">
        <is>
          <t>15. Safety, Security, Interpretability and Governance</t>
        </is>
      </c>
      <c r="G374" s="10" t="n">
        <v>2020</v>
      </c>
      <c r="H374" s="10" t="inlineStr">
        <is>
          <t>Advanced</t>
        </is>
      </c>
      <c r="I374" s="10" t="inlineStr">
        <is>
          <t>Active in 2026</t>
        </is>
      </c>
    </row>
    <row r="375">
      <c r="A375" s="10" t="n">
        <v>2025</v>
      </c>
      <c r="B375" s="10" t="inlineStr">
        <is>
          <t>GitHub</t>
        </is>
      </c>
      <c r="C375" s="10" t="inlineStr">
        <is>
          <t>circuit-tracer</t>
        </is>
      </c>
      <c r="D375" s="11" t="inlineStr">
        <is>
          <t>https://github.com/safety-research/circuit-tracer</t>
        </is>
      </c>
      <c r="E375" s="10" t="inlineStr">
        <is>
          <t>Mechanistic interpretability</t>
        </is>
      </c>
      <c r="F375" s="10" t="inlineStr">
        <is>
          <t>15. Safety, Security, Interpretability and Governance</t>
        </is>
      </c>
      <c r="G375" s="10" t="n">
        <v>2020</v>
      </c>
      <c r="H375" s="10" t="inlineStr">
        <is>
          <t>Advanced</t>
        </is>
      </c>
      <c r="I375" s="10" t="inlineStr">
        <is>
          <t>Active in 2026</t>
        </is>
      </c>
    </row>
    <row r="376">
      <c r="A376" s="10" t="n">
        <v>2023</v>
      </c>
      <c r="B376" s="10" t="inlineStr">
        <is>
          <t>Docs</t>
        </is>
      </c>
      <c r="C376" s="10" t="inlineStr">
        <is>
          <t>Neuronpedia</t>
        </is>
      </c>
      <c r="D376" s="11" t="inlineStr">
        <is>
          <t>https://www.neuronpedia.org</t>
        </is>
      </c>
      <c r="E376" s="10" t="inlineStr">
        <is>
          <t>Mechanistic interpretability</t>
        </is>
      </c>
      <c r="F376" s="10" t="inlineStr">
        <is>
          <t>15. Safety, Security, Interpretability and Governance</t>
        </is>
      </c>
      <c r="G376" s="10" t="n">
        <v>2020</v>
      </c>
      <c r="H376" s="10" t="inlineStr">
        <is>
          <t>Advanced</t>
        </is>
      </c>
      <c r="I376" s="10" t="inlineStr">
        <is>
          <t>Active in 2026</t>
        </is>
      </c>
    </row>
    <row r="377">
      <c r="A377" s="10" t="n">
        <v>2022</v>
      </c>
      <c r="B377" s="10" t="inlineStr">
        <is>
          <t>GitHub</t>
        </is>
      </c>
      <c r="C377" s="10" t="inlineStr">
        <is>
          <t>TransformerLens</t>
        </is>
      </c>
      <c r="D377" s="11" t="inlineStr">
        <is>
          <t>https://github.com/TransformerLensOrg/TransformerLens</t>
        </is>
      </c>
      <c r="E377" s="10" t="inlineStr">
        <is>
          <t>Mechanistic interpretability</t>
        </is>
      </c>
      <c r="F377" s="10" t="inlineStr">
        <is>
          <t>15. Safety, Security, Interpretability and Governance</t>
        </is>
      </c>
      <c r="G377" s="10" t="n">
        <v>2020</v>
      </c>
      <c r="H377" s="10" t="inlineStr">
        <is>
          <t>Advanced</t>
        </is>
      </c>
      <c r="I377" s="10" t="inlineStr">
        <is>
          <t>Active in 2026</t>
        </is>
      </c>
    </row>
    <row r="378">
      <c r="A378" s="10" t="n">
        <v>2023</v>
      </c>
      <c r="B378" s="10" t="inlineStr">
        <is>
          <t>GitHub</t>
        </is>
      </c>
      <c r="C378" s="10" t="inlineStr">
        <is>
          <t>nnsight</t>
        </is>
      </c>
      <c r="D378" s="11" t="inlineStr">
        <is>
          <t>https://github.com/ndif-team/nnsight</t>
        </is>
      </c>
      <c r="E378" s="10" t="inlineStr">
        <is>
          <t>Mechanistic interpretability</t>
        </is>
      </c>
      <c r="F378" s="10" t="inlineStr">
        <is>
          <t>15. Safety, Security, Interpretability and Governance</t>
        </is>
      </c>
      <c r="G378" s="10" t="n">
        <v>2020</v>
      </c>
      <c r="H378" s="10" t="inlineStr">
        <is>
          <t>Advanced</t>
        </is>
      </c>
      <c r="I378" s="10" t="inlineStr">
        <is>
          <t>Active in 2026</t>
        </is>
      </c>
    </row>
    <row r="379">
      <c r="A379" s="10" t="n">
        <v>2025</v>
      </c>
      <c r="B379" s="10" t="inlineStr">
        <is>
          <t>Blog</t>
        </is>
      </c>
      <c r="C379" s="10" t="inlineStr">
        <is>
          <t>Anthropic: Persona vectors</t>
        </is>
      </c>
      <c r="D379" s="11" t="inlineStr">
        <is>
          <t>https://www.anthropic.com/research/persona-vectors</t>
        </is>
      </c>
      <c r="E379" s="10" t="inlineStr">
        <is>
          <t>Persona vectors and introspection</t>
        </is>
      </c>
      <c r="F379" s="10" t="inlineStr">
        <is>
          <t>15. Safety, Security, Interpretability and Governance</t>
        </is>
      </c>
      <c r="G379" s="10" t="n">
        <v>2025</v>
      </c>
      <c r="H379" s="10" t="inlineStr">
        <is>
          <t>Advanced</t>
        </is>
      </c>
      <c r="I379" s="10" t="inlineStr">
        <is>
          <t>Active in 2026</t>
        </is>
      </c>
    </row>
    <row r="380">
      <c r="A380" s="10" t="n">
        <v>2025</v>
      </c>
      <c r="B380" s="10" t="inlineStr">
        <is>
          <t>Blog</t>
        </is>
      </c>
      <c r="C380" s="10" t="inlineStr">
        <is>
          <t>Anthropic: Introspection</t>
        </is>
      </c>
      <c r="D380" s="11" t="inlineStr">
        <is>
          <t>https://www.anthropic.com/research/introspection</t>
        </is>
      </c>
      <c r="E380" s="10" t="inlineStr">
        <is>
          <t>Persona vectors and introspection</t>
        </is>
      </c>
      <c r="F380" s="10" t="inlineStr">
        <is>
          <t>15. Safety, Security, Interpretability and Governance</t>
        </is>
      </c>
      <c r="G380" s="10" t="n">
        <v>2025</v>
      </c>
      <c r="H380" s="10" t="inlineStr">
        <is>
          <t>Advanced</t>
        </is>
      </c>
      <c r="I380" s="10" t="inlineStr">
        <is>
          <t>Active in 2026</t>
        </is>
      </c>
    </row>
    <row r="381">
      <c r="A381" s="10" t="n">
        <v>2025</v>
      </c>
      <c r="B381" s="10" t="inlineStr">
        <is>
          <t>Paper</t>
        </is>
      </c>
      <c r="C381" s="10" t="inlineStr">
        <is>
          <t>CoT monitorability position paper</t>
        </is>
      </c>
      <c r="D381" s="11" t="inlineStr">
        <is>
          <t>https://arxiv.org/abs/2507.11473</t>
        </is>
      </c>
      <c r="E381" s="10" t="inlineStr">
        <is>
          <t>Chain-of-thought monitorability</t>
        </is>
      </c>
      <c r="F381" s="10" t="inlineStr">
        <is>
          <t>15. Safety, Security, Interpretability and Governance</t>
        </is>
      </c>
      <c r="G381" s="10" t="n">
        <v>2025</v>
      </c>
      <c r="H381" s="10" t="inlineStr">
        <is>
          <t>Advanced</t>
        </is>
      </c>
      <c r="I381" s="10" t="inlineStr">
        <is>
          <t>Active in 2026</t>
        </is>
      </c>
    </row>
    <row r="382">
      <c r="A382" s="10" t="n">
        <v>2026</v>
      </c>
      <c r="B382" s="10" t="inlineStr">
        <is>
          <t>Docs</t>
        </is>
      </c>
      <c r="C382" s="10" t="inlineStr">
        <is>
          <t>GPT-6 Astra system card</t>
        </is>
      </c>
      <c r="D382" s="11" t="inlineStr">
        <is>
          <t>https://deploymentsafety.openai.com/gpt-6-astra</t>
        </is>
      </c>
      <c r="E382" s="10" t="inlineStr">
        <is>
          <t>Chain-of-thought monitorability</t>
        </is>
      </c>
      <c r="F382" s="10" t="inlineStr">
        <is>
          <t>15. Safety, Security, Interpretability and Governance</t>
        </is>
      </c>
      <c r="G382" s="10" t="n">
        <v>2025</v>
      </c>
      <c r="H382" s="10" t="inlineStr">
        <is>
          <t>Advanced</t>
        </is>
      </c>
      <c r="I382" s="10" t="inlineStr">
        <is>
          <t>Active in 2026</t>
        </is>
      </c>
    </row>
    <row r="383">
      <c r="A383" s="10" t="n">
        <v>2024</v>
      </c>
      <c r="B383" s="10" t="inlineStr">
        <is>
          <t>Blog</t>
        </is>
      </c>
      <c r="C383" s="10" t="inlineStr">
        <is>
          <t>Anthropic: Alignment faking</t>
        </is>
      </c>
      <c r="D383" s="11" t="inlineStr">
        <is>
          <t>https://www.anthropic.com/research/alignment-faking</t>
        </is>
      </c>
      <c r="E383" s="10" t="inlineStr">
        <is>
          <t>Misalignment research</t>
        </is>
      </c>
      <c r="F383" s="10" t="inlineStr">
        <is>
          <t>15. Safety, Security, Interpretability and Governance</t>
        </is>
      </c>
      <c r="G383" s="10" t="n">
        <v>2024</v>
      </c>
      <c r="H383" s="10" t="inlineStr">
        <is>
          <t>Advanced</t>
        </is>
      </c>
      <c r="I383" s="10" t="inlineStr">
        <is>
          <t>Active in 2026</t>
        </is>
      </c>
    </row>
    <row r="384">
      <c r="A384" s="10" t="n">
        <v>2025</v>
      </c>
      <c r="B384" s="10" t="inlineStr">
        <is>
          <t>Blog</t>
        </is>
      </c>
      <c r="C384" s="10" t="inlineStr">
        <is>
          <t>Anthropic: Agentic misalignment</t>
        </is>
      </c>
      <c r="D384" s="11" t="inlineStr">
        <is>
          <t>https://www.anthropic.com/research/agentic-misalignment</t>
        </is>
      </c>
      <c r="E384" s="10" t="inlineStr">
        <is>
          <t>Misalignment research</t>
        </is>
      </c>
      <c r="F384" s="10" t="inlineStr">
        <is>
          <t>15. Safety, Security, Interpretability and Governance</t>
        </is>
      </c>
      <c r="G384" s="10" t="n">
        <v>2024</v>
      </c>
      <c r="H384" s="10" t="inlineStr">
        <is>
          <t>Advanced</t>
        </is>
      </c>
      <c r="I384" s="10" t="inlineStr">
        <is>
          <t>Active in 2026</t>
        </is>
      </c>
    </row>
    <row r="385">
      <c r="A385" s="10" t="n">
        <v>2025</v>
      </c>
      <c r="B385" s="10" t="inlineStr">
        <is>
          <t>Paper</t>
        </is>
      </c>
      <c r="C385" s="10" t="inlineStr">
        <is>
          <t>Emergent misalignment</t>
        </is>
      </c>
      <c r="D385" s="11" t="inlineStr">
        <is>
          <t>https://arxiv.org/abs/2502.17424</t>
        </is>
      </c>
      <c r="E385" s="10" t="inlineStr">
        <is>
          <t>Misalignment research</t>
        </is>
      </c>
      <c r="F385" s="10" t="inlineStr">
        <is>
          <t>15. Safety, Security, Interpretability and Governance</t>
        </is>
      </c>
      <c r="G385" s="10" t="n">
        <v>2024</v>
      </c>
      <c r="H385" s="10" t="inlineStr">
        <is>
          <t>Advanced</t>
        </is>
      </c>
      <c r="I385" s="10" t="inlineStr">
        <is>
          <t>Active in 2026</t>
        </is>
      </c>
    </row>
    <row r="386">
      <c r="A386" s="10" t="n">
        <v>2023</v>
      </c>
      <c r="B386" s="10" t="inlineStr">
        <is>
          <t>Docs</t>
        </is>
      </c>
      <c r="C386" s="10" t="inlineStr">
        <is>
          <t>Apollo Research</t>
        </is>
      </c>
      <c r="D386" s="11" t="inlineStr">
        <is>
          <t>https://www.apolloresearch.ai</t>
        </is>
      </c>
      <c r="E386" s="10" t="inlineStr">
        <is>
          <t>Misalignment research</t>
        </is>
      </c>
      <c r="F386" s="10" t="inlineStr">
        <is>
          <t>15. Safety, Security, Interpretability and Governance</t>
        </is>
      </c>
      <c r="G386" s="10" t="n">
        <v>2024</v>
      </c>
      <c r="H386" s="10" t="inlineStr">
        <is>
          <t>Advanced</t>
        </is>
      </c>
      <c r="I386" s="10" t="inlineStr">
        <is>
          <t>Active in 2026</t>
        </is>
      </c>
    </row>
    <row r="387">
      <c r="A387" s="10" t="n">
        <v>2025</v>
      </c>
      <c r="B387" s="10" t="inlineStr">
        <is>
          <t>Blog</t>
        </is>
      </c>
      <c r="C387" s="10" t="inlineStr">
        <is>
          <t>Anthropic: Exploring model welfare</t>
        </is>
      </c>
      <c r="D387" s="11" t="inlineStr">
        <is>
          <t>https://www.anthropic.com/research/exploring-model-welfare</t>
        </is>
      </c>
      <c r="E387" s="10" t="inlineStr">
        <is>
          <t>Model welfare</t>
        </is>
      </c>
      <c r="F387" s="10" t="inlineStr">
        <is>
          <t>15. Safety, Security, Interpretability and Governance</t>
        </is>
      </c>
      <c r="G387" s="10" t="n">
        <v>2025</v>
      </c>
      <c r="H387" s="10" t="inlineStr">
        <is>
          <t>Intermediate</t>
        </is>
      </c>
      <c r="I387" s="10" t="inlineStr">
        <is>
          <t>Active in 2026</t>
        </is>
      </c>
    </row>
    <row r="388">
      <c r="A388" s="10" t="n">
        <v>2024</v>
      </c>
      <c r="B388" s="10" t="inlineStr">
        <is>
          <t>Docs</t>
        </is>
      </c>
      <c r="C388" s="10" t="inlineStr">
        <is>
          <t>EU AI Act explorer</t>
        </is>
      </c>
      <c r="D388" s="11" t="inlineStr">
        <is>
          <t>https://artificialintelligenceact.eu</t>
        </is>
      </c>
      <c r="E388" s="10" t="inlineStr">
        <is>
          <t>EU AI Act and the Digital Omnibus</t>
        </is>
      </c>
      <c r="F388" s="10" t="inlineStr">
        <is>
          <t>15. Safety, Security, Interpretability and Governance</t>
        </is>
      </c>
      <c r="G388" s="10" t="n">
        <v>2024</v>
      </c>
      <c r="H388" s="10" t="inlineStr">
        <is>
          <t>Intermediate</t>
        </is>
      </c>
      <c r="I388" s="10" t="inlineStr">
        <is>
          <t>Active in 2026</t>
        </is>
      </c>
    </row>
    <row r="389">
      <c r="A389" s="10" t="n">
        <v>2025</v>
      </c>
      <c r="B389" s="10" t="inlineStr">
        <is>
          <t>Docs</t>
        </is>
      </c>
      <c r="C389" s="10" t="inlineStr">
        <is>
          <t>EU GPAI Code of Practice</t>
        </is>
      </c>
      <c r="D389" s="11" t="inlineStr">
        <is>
          <t>https://digital-strategy.ec.europa.eu/en/policies/contents-code-gpai</t>
        </is>
      </c>
      <c r="E389" s="10" t="inlineStr">
        <is>
          <t>EU AI Act and the Digital Omnibus</t>
        </is>
      </c>
      <c r="F389" s="10" t="inlineStr">
        <is>
          <t>15. Safety, Security, Interpretability and Governance</t>
        </is>
      </c>
      <c r="G389" s="10" t="n">
        <v>2024</v>
      </c>
      <c r="H389" s="10" t="inlineStr">
        <is>
          <t>Intermediate</t>
        </is>
      </c>
      <c r="I389" s="10" t="inlineStr">
        <is>
          <t>Active in 2026</t>
        </is>
      </c>
    </row>
    <row r="390">
      <c r="A390" s="10" t="n">
        <v>2026</v>
      </c>
      <c r="B390" s="10" t="inlineStr">
        <is>
          <t>Blog</t>
        </is>
      </c>
      <c r="C390" s="10" t="inlineStr">
        <is>
          <t>Modulos: The Omnibus deal</t>
        </is>
      </c>
      <c r="D390" s="11" t="inlineStr">
        <is>
          <t>https://www.modulos.ai/blog/eu-ai-act-omnibus-deal</t>
        </is>
      </c>
      <c r="E390" s="10" t="inlineStr">
        <is>
          <t>EU AI Act and the Digital Omnibus</t>
        </is>
      </c>
      <c r="F390" s="10" t="inlineStr">
        <is>
          <t>15. Safety, Security, Interpretability and Governance</t>
        </is>
      </c>
      <c r="G390" s="10" t="n">
        <v>2024</v>
      </c>
      <c r="H390" s="10" t="inlineStr">
        <is>
          <t>Intermediate</t>
        </is>
      </c>
      <c r="I390" s="10" t="inlineStr">
        <is>
          <t>Active in 2026</t>
        </is>
      </c>
    </row>
    <row r="391">
      <c r="A391" s="10" t="n">
        <v>2023</v>
      </c>
      <c r="B391" s="10" t="inlineStr">
        <is>
          <t>Spec</t>
        </is>
      </c>
      <c r="C391" s="10" t="inlineStr">
        <is>
          <t>NIST AI RMF</t>
        </is>
      </c>
      <c r="D391" s="11" t="inlineStr">
        <is>
          <t>https://www.nist.gov/itl/ai-risk-management-framework</t>
        </is>
      </c>
      <c r="E391" s="10" t="inlineStr">
        <is>
          <t>Other regulation and standards</t>
        </is>
      </c>
      <c r="F391" s="10" t="inlineStr">
        <is>
          <t>15. Safety, Security, Interpretability and Governance</t>
        </is>
      </c>
      <c r="G391" s="10" t="n">
        <v>2023</v>
      </c>
      <c r="H391" s="10" t="inlineStr">
        <is>
          <t>Intermediate</t>
        </is>
      </c>
      <c r="I391" s="10" t="inlineStr">
        <is>
          <t>Active in 2026</t>
        </is>
      </c>
    </row>
    <row r="392">
      <c r="A392" s="10" t="n">
        <v>2023</v>
      </c>
      <c r="B392" s="10" t="inlineStr">
        <is>
          <t>Spec</t>
        </is>
      </c>
      <c r="C392" s="10" t="inlineStr">
        <is>
          <t>ISO/IEC 42001</t>
        </is>
      </c>
      <c r="D392" s="11" t="inlineStr">
        <is>
          <t>https://www.iso.org/standard/81230.html</t>
        </is>
      </c>
      <c r="E392" s="10" t="inlineStr">
        <is>
          <t>Other regulation and standards</t>
        </is>
      </c>
      <c r="F392" s="10" t="inlineStr">
        <is>
          <t>15. Safety, Security, Interpretability and Governance</t>
        </is>
      </c>
      <c r="G392" s="10" t="n">
        <v>2023</v>
      </c>
      <c r="H392" s="10" t="inlineStr">
        <is>
          <t>Intermediate</t>
        </is>
      </c>
      <c r="I392" s="10" t="inlineStr">
        <is>
          <t>Active in 2026</t>
        </is>
      </c>
    </row>
    <row r="393">
      <c r="A393" s="10" t="n">
        <v>2025</v>
      </c>
      <c r="B393" s="10" t="inlineStr">
        <is>
          <t>Docs</t>
        </is>
      </c>
      <c r="C393" s="10" t="inlineStr">
        <is>
          <t>California SB 53</t>
        </is>
      </c>
      <c r="D393" s="11" t="inlineStr">
        <is>
          <t>https://leginfo.legislature.ca.gov/faces/billNavClient.xhtml?bill_id=202520260SB53</t>
        </is>
      </c>
      <c r="E393" s="10" t="inlineStr">
        <is>
          <t>Other regulation and standards</t>
        </is>
      </c>
      <c r="F393" s="10" t="inlineStr">
        <is>
          <t>15. Safety, Security, Interpretability and Governance</t>
        </is>
      </c>
      <c r="G393" s="10" t="n">
        <v>2023</v>
      </c>
      <c r="H393" s="10" t="inlineStr">
        <is>
          <t>Intermediate</t>
        </is>
      </c>
      <c r="I393" s="10" t="inlineStr">
        <is>
          <t>Active in 2026</t>
        </is>
      </c>
    </row>
    <row r="394">
      <c r="A394" s="10" t="n">
        <v>2023</v>
      </c>
      <c r="B394" s="10" t="inlineStr">
        <is>
          <t>Docs</t>
        </is>
      </c>
      <c r="C394" s="10" t="inlineStr">
        <is>
          <t>UK AI Security Institute</t>
        </is>
      </c>
      <c r="D394" s="11" t="inlineStr">
        <is>
          <t>https://www.aisi.gov.uk</t>
        </is>
      </c>
      <c r="E394" s="10" t="inlineStr">
        <is>
          <t>Government AI safety institutes</t>
        </is>
      </c>
      <c r="F394" s="10" t="inlineStr">
        <is>
          <t>15. Safety, Security, Interpretability and Governance</t>
        </is>
      </c>
      <c r="G394" s="10" t="n">
        <v>2023</v>
      </c>
      <c r="H394" s="10" t="inlineStr">
        <is>
          <t>Beginner</t>
        </is>
      </c>
      <c r="I394" s="10" t="inlineStr">
        <is>
          <t>Active in 2026</t>
        </is>
      </c>
    </row>
    <row r="395">
      <c r="A395" s="10" t="n">
        <v>2025</v>
      </c>
      <c r="B395" s="10" t="inlineStr">
        <is>
          <t>Docs</t>
        </is>
      </c>
      <c r="C395" s="10" t="inlineStr">
        <is>
          <t>US CAISI (NIST)</t>
        </is>
      </c>
      <c r="D395" s="11" t="inlineStr">
        <is>
          <t>https://www.nist.gov/caisi</t>
        </is>
      </c>
      <c r="E395" s="10" t="inlineStr">
        <is>
          <t>Government AI safety institutes</t>
        </is>
      </c>
      <c r="F395" s="10" t="inlineStr">
        <is>
          <t>15. Safety, Security, Interpretability and Governance</t>
        </is>
      </c>
      <c r="G395" s="10" t="n">
        <v>2023</v>
      </c>
      <c r="H395" s="10" t="inlineStr">
        <is>
          <t>Beginner</t>
        </is>
      </c>
      <c r="I395" s="10" t="inlineStr">
        <is>
          <t>Active in 2026</t>
        </is>
      </c>
    </row>
    <row r="396">
      <c r="A396" s="10" t="n">
        <v>2021</v>
      </c>
      <c r="B396" s="10" t="inlineStr">
        <is>
          <t>Spec</t>
        </is>
      </c>
      <c r="C396" s="10" t="inlineStr">
        <is>
          <t>C2PA</t>
        </is>
      </c>
      <c r="D396" s="11" t="inlineStr">
        <is>
          <t>https://c2pa.org</t>
        </is>
      </c>
      <c r="E396" s="10" t="inlineStr">
        <is>
          <t>Content provenance and watermarking</t>
        </is>
      </c>
      <c r="F396" s="10" t="inlineStr">
        <is>
          <t>15. Safety, Security, Interpretability and Governance</t>
        </is>
      </c>
      <c r="G396" s="10" t="n">
        <v>2021</v>
      </c>
      <c r="H396" s="10" t="inlineStr">
        <is>
          <t>Beginner</t>
        </is>
      </c>
      <c r="I396" s="10" t="inlineStr">
        <is>
          <t>Active in 2026</t>
        </is>
      </c>
    </row>
    <row r="397">
      <c r="A397" s="10" t="n">
        <v>2023</v>
      </c>
      <c r="B397" s="10" t="inlineStr">
        <is>
          <t>Docs</t>
        </is>
      </c>
      <c r="C397" s="10" t="inlineStr">
        <is>
          <t>Google SynthID</t>
        </is>
      </c>
      <c r="D397" s="11" t="inlineStr">
        <is>
          <t>https://deepmind.google/models/synthid/</t>
        </is>
      </c>
      <c r="E397" s="10" t="inlineStr">
        <is>
          <t>Content provenance and watermarking</t>
        </is>
      </c>
      <c r="F397" s="10" t="inlineStr">
        <is>
          <t>15. Safety, Security, Interpretability and Governance</t>
        </is>
      </c>
      <c r="G397" s="10" t="n">
        <v>2021</v>
      </c>
      <c r="H397" s="10" t="inlineStr">
        <is>
          <t>Beginner</t>
        </is>
      </c>
      <c r="I397" s="10" t="inlineStr">
        <is>
          <t>Active in 2026</t>
        </is>
      </c>
    </row>
    <row r="398">
      <c r="A398" s="10" t="n">
        <v>2026</v>
      </c>
      <c r="B398" s="10" t="inlineStr">
        <is>
          <t>Docs</t>
        </is>
      </c>
      <c r="C398" s="10" t="inlineStr">
        <is>
          <t>Wikipedia: Forward Deployed Engineer</t>
        </is>
      </c>
      <c r="D398" s="11" t="inlineStr">
        <is>
          <t>https://en.wikipedia.org/wiki/Forward_Deployed_Engineer</t>
        </is>
      </c>
      <c r="E398" s="10" t="inlineStr">
        <is>
          <t>Forward Deployed Engineer</t>
        </is>
      </c>
      <c r="F398" s="10" t="inlineStr">
        <is>
          <t>16. Roles, Deployment and AI Engineering Practice</t>
        </is>
      </c>
      <c r="G398" s="10" t="n">
        <v>2010</v>
      </c>
      <c r="H398" s="10" t="inlineStr">
        <is>
          <t>Beginner</t>
        </is>
      </c>
      <c r="I398" s="10" t="inlineStr">
        <is>
          <t>Active in 2026</t>
        </is>
      </c>
    </row>
    <row r="399">
      <c r="A399" s="10" t="n">
        <v>2026</v>
      </c>
      <c r="B399" s="10" t="inlineStr">
        <is>
          <t>Blog</t>
        </is>
      </c>
      <c r="C399" s="10" t="inlineStr">
        <is>
          <t>Alexey Grigorev: What AI FDEs do</t>
        </is>
      </c>
      <c r="D399" s="11" t="inlineStr">
        <is>
          <t>https://alexeyondata.substack.com/p/what-ai-forward-deployed-engineers</t>
        </is>
      </c>
      <c r="E399" s="10" t="inlineStr">
        <is>
          <t>Forward Deployed Engineer</t>
        </is>
      </c>
      <c r="F399" s="10" t="inlineStr">
        <is>
          <t>16. Roles, Deployment and AI Engineering Practice</t>
        </is>
      </c>
      <c r="G399" s="10" t="n">
        <v>2010</v>
      </c>
      <c r="H399" s="10" t="inlineStr">
        <is>
          <t>Beginner</t>
        </is>
      </c>
      <c r="I399" s="10" t="inlineStr">
        <is>
          <t>Active in 2026</t>
        </is>
      </c>
    </row>
    <row r="400">
      <c r="A400" s="10" t="n">
        <v>2026</v>
      </c>
      <c r="B400" s="10" t="inlineStr">
        <is>
          <t>Blog</t>
        </is>
      </c>
      <c r="C400" s="10" t="inlineStr">
        <is>
          <t>MarkTechPost: What is an FDE</t>
        </is>
      </c>
      <c r="D400" s="11" t="inlineStr">
        <is>
          <t>https://www.marktechpost.com/2026/05/20/what-is-a-forward-deployed-engineer-the-ai-role-openai-anthropic-and-google-are-hiring-in-2026/</t>
        </is>
      </c>
      <c r="E400" s="10" t="inlineStr">
        <is>
          <t>Forward Deployed Engineer</t>
        </is>
      </c>
      <c r="F400" s="10" t="inlineStr">
        <is>
          <t>16. Roles, Deployment and AI Engineering Practice</t>
        </is>
      </c>
      <c r="G400" s="10" t="n">
        <v>2010</v>
      </c>
      <c r="H400" s="10" t="inlineStr">
        <is>
          <t>Beginner</t>
        </is>
      </c>
      <c r="I400" s="10" t="inlineStr">
        <is>
          <t>Active in 2026</t>
        </is>
      </c>
    </row>
    <row r="401">
      <c r="A401" s="10" t="n">
        <v>2026</v>
      </c>
      <c r="B401" s="10" t="inlineStr">
        <is>
          <t>Blog</t>
        </is>
      </c>
      <c r="C401" s="10" t="inlineStr">
        <is>
          <t>The AI Engineer: What is an FDE</t>
        </is>
      </c>
      <c r="D401" s="11" t="inlineStr">
        <is>
          <t>https://theaiengineer.substack.com/p/what-is-a-forward-deployed-engineer</t>
        </is>
      </c>
      <c r="E401" s="10" t="inlineStr">
        <is>
          <t>Forward Deployed Engineer</t>
        </is>
      </c>
      <c r="F401" s="10" t="inlineStr">
        <is>
          <t>16. Roles, Deployment and AI Engineering Practice</t>
        </is>
      </c>
      <c r="G401" s="10" t="n">
        <v>2010</v>
      </c>
      <c r="H401" s="10" t="inlineStr">
        <is>
          <t>Beginner</t>
        </is>
      </c>
      <c r="I401" s="10" t="inlineStr">
        <is>
          <t>Active in 2026</t>
        </is>
      </c>
    </row>
    <row r="402">
      <c r="A402" s="10" t="n">
        <v>2026</v>
      </c>
      <c r="B402" s="10" t="inlineStr">
        <is>
          <t>Blog</t>
        </is>
      </c>
      <c r="C402" s="10" t="inlineStr">
        <is>
          <t>Aishwarya Srinivasan: The hottest role in 2026</t>
        </is>
      </c>
      <c r="D402" s="11" t="inlineStr">
        <is>
          <t>https://aishwaryasrinivasan.substack.com/p/the-hottest-role-in-2026-forward</t>
        </is>
      </c>
      <c r="E402" s="10" t="inlineStr">
        <is>
          <t>Forward Deployed Engineer</t>
        </is>
      </c>
      <c r="F402" s="10" t="inlineStr">
        <is>
          <t>16. Roles, Deployment and AI Engineering Practice</t>
        </is>
      </c>
      <c r="G402" s="10" t="n">
        <v>2010</v>
      </c>
      <c r="H402" s="10" t="inlineStr">
        <is>
          <t>Beginner</t>
        </is>
      </c>
      <c r="I402" s="10" t="inlineStr">
        <is>
          <t>Active in 2026</t>
        </is>
      </c>
    </row>
    <row r="403">
      <c r="A403" s="10" t="n">
        <v>2023</v>
      </c>
      <c r="B403" s="10" t="inlineStr">
        <is>
          <t>Blog</t>
        </is>
      </c>
      <c r="C403" s="10" t="inlineStr">
        <is>
          <t>Latent Space: The rise of the AI engineer</t>
        </is>
      </c>
      <c r="D403" s="11" t="inlineStr">
        <is>
          <t>https://www.latent.space/p/ai-engineer</t>
        </is>
      </c>
      <c r="E403" s="10" t="inlineStr">
        <is>
          <t>AI Engineer</t>
        </is>
      </c>
      <c r="F403" s="10" t="inlineStr">
        <is>
          <t>16. Roles, Deployment and AI Engineering Practice</t>
        </is>
      </c>
      <c r="G403" s="10" t="n">
        <v>2023</v>
      </c>
      <c r="H403" s="10" t="inlineStr">
        <is>
          <t>Beginner</t>
        </is>
      </c>
      <c r="I403" s="10" t="inlineStr">
        <is>
          <t>Active in 2026</t>
        </is>
      </c>
    </row>
    <row r="404">
      <c r="A404" s="10" t="n">
        <v>2024</v>
      </c>
      <c r="B404" s="10" t="inlineStr">
        <is>
          <t>GitHub</t>
        </is>
      </c>
      <c r="C404" s="10" t="inlineStr">
        <is>
          <t>Chip Huyen: AI Engineering book resources</t>
        </is>
      </c>
      <c r="D404" s="11" t="inlineStr">
        <is>
          <t>https://github.com/chiphuyen/aie-book</t>
        </is>
      </c>
      <c r="E404" s="10" t="inlineStr">
        <is>
          <t>AI Engineer</t>
        </is>
      </c>
      <c r="F404" s="10" t="inlineStr">
        <is>
          <t>16. Roles, Deployment and AI Engineering Practice</t>
        </is>
      </c>
      <c r="G404" s="10" t="n">
        <v>2023</v>
      </c>
      <c r="H404" s="10" t="inlineStr">
        <is>
          <t>Beginner</t>
        </is>
      </c>
      <c r="I404" s="10" t="inlineStr">
        <is>
          <t>Active in 2026</t>
        </is>
      </c>
    </row>
    <row r="405">
      <c r="A405" s="10" t="n">
        <v>2026</v>
      </c>
      <c r="B405" s="10" t="inlineStr">
        <is>
          <t>Blog</t>
        </is>
      </c>
      <c r="C405" s="10" t="inlineStr">
        <is>
          <t>IJONIS: FDE and services-as-software</t>
        </is>
      </c>
      <c r="D405" s="11" t="inlineStr">
        <is>
          <t>https://ijonis.com/en/forward-deployed-engineer-explained</t>
        </is>
      </c>
      <c r="E405" s="10" t="inlineStr">
        <is>
          <t>Services as software</t>
        </is>
      </c>
      <c r="F405" s="10" t="inlineStr">
        <is>
          <t>16. Roles, Deployment and AI Engineering Practice</t>
        </is>
      </c>
      <c r="G405" s="10" t="n">
        <v>2025</v>
      </c>
      <c r="H405" s="10" t="inlineStr">
        <is>
          <t>Intermediate</t>
        </is>
      </c>
      <c r="I405" s="10" t="inlineStr">
        <is>
          <t>Active in 2026</t>
        </is>
      </c>
    </row>
    <row r="406">
      <c r="A406" s="10" t="n">
        <v>2024</v>
      </c>
      <c r="B406" s="10" t="inlineStr">
        <is>
          <t>Docs</t>
        </is>
      </c>
      <c r="C406" s="10" t="inlineStr">
        <is>
          <t>Anthropic prompt engineering guide</t>
        </is>
      </c>
      <c r="D406" s="11" t="inlineStr">
        <is>
          <t>https://docs.claude.com/en/docs/build-with-claude/prompt-engineering/overview</t>
        </is>
      </c>
      <c r="E406" s="10" t="inlineStr">
        <is>
          <t>Prompt engineering and prompt optimization</t>
        </is>
      </c>
      <c r="F406" s="10" t="inlineStr">
        <is>
          <t>16. Roles, Deployment and AI Engineering Practice</t>
        </is>
      </c>
      <c r="G406" s="10" t="n">
        <v>2022</v>
      </c>
      <c r="H406" s="10" t="inlineStr">
        <is>
          <t>Beginner</t>
        </is>
      </c>
      <c r="I406" s="10" t="inlineStr">
        <is>
          <t>Active in 2026</t>
        </is>
      </c>
    </row>
    <row r="407">
      <c r="A407" s="10" t="n">
        <v>2023</v>
      </c>
      <c r="B407" s="10" t="inlineStr">
        <is>
          <t>GitHub</t>
        </is>
      </c>
      <c r="C407" s="10" t="inlineStr">
        <is>
          <t>DSPy</t>
        </is>
      </c>
      <c r="D407" s="11" t="inlineStr">
        <is>
          <t>https://github.com/stanfordnlp/dspy</t>
        </is>
      </c>
      <c r="E407" s="10" t="inlineStr">
        <is>
          <t>Prompt engineering and prompt optimization</t>
        </is>
      </c>
      <c r="F407" s="10" t="inlineStr">
        <is>
          <t>16. Roles, Deployment and AI Engineering Practice</t>
        </is>
      </c>
      <c r="G407" s="10" t="n">
        <v>2022</v>
      </c>
      <c r="H407" s="10" t="inlineStr">
        <is>
          <t>Beginner</t>
        </is>
      </c>
      <c r="I407" s="10" t="inlineStr">
        <is>
          <t>Active in 2026</t>
        </is>
      </c>
    </row>
    <row r="408">
      <c r="A408" s="10" t="n">
        <v>2025</v>
      </c>
      <c r="B408" s="10" t="inlineStr">
        <is>
          <t>GitHub</t>
        </is>
      </c>
      <c r="C408" s="10" t="inlineStr">
        <is>
          <t>GEPA</t>
        </is>
      </c>
      <c r="D408" s="11" t="inlineStr">
        <is>
          <t>https://github.com/gepa-ai/gepa</t>
        </is>
      </c>
      <c r="E408" s="10" t="inlineStr">
        <is>
          <t>Prompt engineering and prompt optimization</t>
        </is>
      </c>
      <c r="F408" s="10" t="inlineStr">
        <is>
          <t>16. Roles, Deployment and AI Engineering Practice</t>
        </is>
      </c>
      <c r="G408" s="10" t="n">
        <v>2022</v>
      </c>
      <c r="H408" s="10" t="inlineStr">
        <is>
          <t>Beginner</t>
        </is>
      </c>
      <c r="I408" s="10" t="inlineStr">
        <is>
          <t>Active in 2026</t>
        </is>
      </c>
    </row>
    <row r="409">
      <c r="A409" s="10" t="n">
        <v>2024</v>
      </c>
      <c r="B409" s="10" t="inlineStr">
        <is>
          <t>Blog</t>
        </is>
      </c>
      <c r="C409" s="10" t="inlineStr">
        <is>
          <t>Hamel Husain: Your AI product needs evals</t>
        </is>
      </c>
      <c r="D409" s="11" t="inlineStr">
        <is>
          <t>https://hamel.dev/blog/posts/evals/</t>
        </is>
      </c>
      <c r="E409" s="10" t="inlineStr">
        <is>
          <t>Eval-driven development</t>
        </is>
      </c>
      <c r="F409" s="10" t="inlineStr">
        <is>
          <t>16. Roles, Deployment and AI Engineering Practice</t>
        </is>
      </c>
      <c r="G409" s="10" t="n">
        <v>2024</v>
      </c>
      <c r="H409" s="10" t="inlineStr">
        <is>
          <t>Intermediate</t>
        </is>
      </c>
      <c r="I409" s="10" t="inlineStr">
        <is>
          <t>Active in 2026</t>
        </is>
      </c>
    </row>
    <row r="410">
      <c r="A410" s="10" t="n">
        <v>2023</v>
      </c>
      <c r="B410" s="10" t="inlineStr">
        <is>
          <t>GitHub</t>
        </is>
      </c>
      <c r="C410" s="10" t="inlineStr">
        <is>
          <t>Langfuse</t>
        </is>
      </c>
      <c r="D410" s="11" t="inlineStr">
        <is>
          <t>https://github.com/langfuse/langfuse</t>
        </is>
      </c>
      <c r="E410" s="10" t="inlineStr">
        <is>
          <t>LLMOps and observability</t>
        </is>
      </c>
      <c r="F410" s="10" t="inlineStr">
        <is>
          <t>16. Roles, Deployment and AI Engineering Practice</t>
        </is>
      </c>
      <c r="G410" s="10" t="n">
        <v>2023</v>
      </c>
      <c r="H410" s="10" t="inlineStr">
        <is>
          <t>Intermediate</t>
        </is>
      </c>
      <c r="I410" s="10" t="inlineStr">
        <is>
          <t>Active in 2026</t>
        </is>
      </c>
    </row>
    <row r="411">
      <c r="A411" s="10" t="n">
        <v>2023</v>
      </c>
      <c r="B411" s="10" t="inlineStr">
        <is>
          <t>GitHub</t>
        </is>
      </c>
      <c r="C411" s="10" t="inlineStr">
        <is>
          <t>Arize Phoenix</t>
        </is>
      </c>
      <c r="D411" s="11" t="inlineStr">
        <is>
          <t>https://github.com/Arize-ai/phoenix</t>
        </is>
      </c>
      <c r="E411" s="10" t="inlineStr">
        <is>
          <t>LLMOps and observability</t>
        </is>
      </c>
      <c r="F411" s="10" t="inlineStr">
        <is>
          <t>16. Roles, Deployment and AI Engineering Practice</t>
        </is>
      </c>
      <c r="G411" s="10" t="n">
        <v>2023</v>
      </c>
      <c r="H411" s="10" t="inlineStr">
        <is>
          <t>Intermediate</t>
        </is>
      </c>
      <c r="I411" s="10" t="inlineStr">
        <is>
          <t>Active in 2026</t>
        </is>
      </c>
    </row>
    <row r="412">
      <c r="A412" s="10" t="n">
        <v>2024</v>
      </c>
      <c r="B412" s="10" t="inlineStr">
        <is>
          <t>Spec</t>
        </is>
      </c>
      <c r="C412" s="10" t="inlineStr">
        <is>
          <t>OTel GenAI conventions</t>
        </is>
      </c>
      <c r="D412" s="11" t="inlineStr">
        <is>
          <t>https://opentelemetry.io/docs/specs/semconv/gen-ai/</t>
        </is>
      </c>
      <c r="E412" s="10" t="inlineStr">
        <is>
          <t>LLMOps and observability</t>
        </is>
      </c>
      <c r="F412" s="10" t="inlineStr">
        <is>
          <t>16. Roles, Deployment and AI Engineering Practice</t>
        </is>
      </c>
      <c r="G412" s="10" t="n">
        <v>2023</v>
      </c>
      <c r="H412" s="10" t="inlineStr">
        <is>
          <t>Intermediate</t>
        </is>
      </c>
      <c r="I412" s="10" t="inlineStr">
        <is>
          <t>Active in 2026</t>
        </is>
      </c>
    </row>
    <row r="413">
      <c r="A413" s="10" t="n">
        <v>2025</v>
      </c>
      <c r="B413" s="10" t="inlineStr">
        <is>
          <t>GitHub</t>
        </is>
      </c>
      <c r="C413" s="10" t="inlineStr">
        <is>
          <t>12-factor agents</t>
        </is>
      </c>
      <c r="D413" s="11" t="inlineStr">
        <is>
          <t>https://github.com/humanlayer/12-factor-agents</t>
        </is>
      </c>
      <c r="E413" s="10" t="inlineStr">
        <is>
          <t>Human-in-the-loop and approval design</t>
        </is>
      </c>
      <c r="F413" s="10" t="inlineStr">
        <is>
          <t>16. Roles, Deployment and AI Engineering Practice</t>
        </is>
      </c>
      <c r="G413" s="10" t="n">
        <v>2024</v>
      </c>
      <c r="H413" s="10" t="inlineStr">
        <is>
          <t>Intermediate</t>
        </is>
      </c>
      <c r="I413" s="10" t="inlineStr">
        <is>
          <t>Active in 2026</t>
        </is>
      </c>
    </row>
    <row r="414">
      <c r="A414" s="10" t="n">
        <v>2024</v>
      </c>
      <c r="B414" s="10" t="inlineStr">
        <is>
          <t>Spec</t>
        </is>
      </c>
      <c r="C414" s="10" t="inlineStr">
        <is>
          <t>OSI Open Source AI Definition</t>
        </is>
      </c>
      <c r="D414" s="11" t="inlineStr">
        <is>
          <t>https://opensource.org/ai/open-source-ai-definition</t>
        </is>
      </c>
      <c r="E414" s="10" t="inlineStr">
        <is>
          <t>Open weights vs. open source AI</t>
        </is>
      </c>
      <c r="F414" s="10" t="inlineStr">
        <is>
          <t>16. Roles, Deployment and AI Engineering Practice</t>
        </is>
      </c>
      <c r="G414" s="10" t="n">
        <v>2023</v>
      </c>
      <c r="H414" s="10" t="inlineStr">
        <is>
          <t>Beginner</t>
        </is>
      </c>
      <c r="I414" s="10" t="inlineStr">
        <is>
          <t>Active in 2026</t>
        </is>
      </c>
    </row>
    <row r="415">
      <c r="A415" s="10" t="n">
        <v>2024</v>
      </c>
      <c r="B415" s="10" t="inlineStr">
        <is>
          <t>Docs</t>
        </is>
      </c>
      <c r="C415" s="10" t="inlineStr">
        <is>
          <t>Allen AI OLMo</t>
        </is>
      </c>
      <c r="D415" s="11" t="inlineStr">
        <is>
          <t>https://allenai.org/olmo</t>
        </is>
      </c>
      <c r="E415" s="10" t="inlineStr">
        <is>
          <t>Open weights vs. open source AI</t>
        </is>
      </c>
      <c r="F415" s="10" t="inlineStr">
        <is>
          <t>16. Roles, Deployment and AI Engineering Practice</t>
        </is>
      </c>
      <c r="G415" s="10" t="n">
        <v>2023</v>
      </c>
      <c r="H415" s="10" t="inlineStr">
        <is>
          <t>Beginner</t>
        </is>
      </c>
      <c r="I415" s="10" t="inlineStr">
        <is>
          <t>Active in 2026</t>
        </is>
      </c>
    </row>
    <row r="416">
      <c r="A416" s="10" t="n">
        <v>2017</v>
      </c>
      <c r="B416" s="10" t="inlineStr">
        <is>
          <t>Blog</t>
        </is>
      </c>
      <c r="C416" s="10" t="inlineStr">
        <is>
          <t>Lil'Log (Lilian Weng)</t>
        </is>
      </c>
      <c r="D416" s="11" t="inlineStr">
        <is>
          <t>https://lilianweng.github.io</t>
        </is>
      </c>
      <c r="E416" s="10" t="inlineStr">
        <is>
          <t>Deep technical blogs</t>
        </is>
      </c>
      <c r="F416" s="10" t="inlineStr">
        <is>
          <t>17. Keep Learning: Curated Resources</t>
        </is>
      </c>
      <c r="G416" s="10" t="n">
        <v>2017</v>
      </c>
      <c r="H416" s="10" t="inlineStr">
        <is>
          <t>Beginner</t>
        </is>
      </c>
      <c r="I416" s="10" t="inlineStr">
        <is>
          <t>Active in 2026</t>
        </is>
      </c>
    </row>
    <row r="417">
      <c r="A417" s="10" t="n">
        <v>2022</v>
      </c>
      <c r="B417" s="10" t="inlineStr">
        <is>
          <t>Blog</t>
        </is>
      </c>
      <c r="C417" s="10" t="inlineStr">
        <is>
          <t>Ahead of AI (Sebastian Raschka)</t>
        </is>
      </c>
      <c r="D417" s="11" t="inlineStr">
        <is>
          <t>https://magazine.sebastianraschka.com</t>
        </is>
      </c>
      <c r="E417" s="10" t="inlineStr">
        <is>
          <t>Deep technical blogs</t>
        </is>
      </c>
      <c r="F417" s="10" t="inlineStr">
        <is>
          <t>17. Keep Learning: Curated Resources</t>
        </is>
      </c>
      <c r="G417" s="10" t="n">
        <v>2017</v>
      </c>
      <c r="H417" s="10" t="inlineStr">
        <is>
          <t>Beginner</t>
        </is>
      </c>
      <c r="I417" s="10" t="inlineStr">
        <is>
          <t>Active in 2026</t>
        </is>
      </c>
    </row>
    <row r="418">
      <c r="A418" s="10" t="n">
        <v>2022</v>
      </c>
      <c r="B418" s="10" t="inlineStr">
        <is>
          <t>Blog</t>
        </is>
      </c>
      <c r="C418" s="10" t="inlineStr">
        <is>
          <t>Interconnects (Nathan Lambert)</t>
        </is>
      </c>
      <c r="D418" s="11" t="inlineStr">
        <is>
          <t>https://www.interconnects.ai</t>
        </is>
      </c>
      <c r="E418" s="10" t="inlineStr">
        <is>
          <t>Deep technical blogs</t>
        </is>
      </c>
      <c r="F418" s="10" t="inlineStr">
        <is>
          <t>17. Keep Learning: Curated Resources</t>
        </is>
      </c>
      <c r="G418" s="10" t="n">
        <v>2017</v>
      </c>
      <c r="H418" s="10" t="inlineStr">
        <is>
          <t>Beginner</t>
        </is>
      </c>
      <c r="I418" s="10" t="inlineStr">
        <is>
          <t>Active in 2026</t>
        </is>
      </c>
    </row>
    <row r="419">
      <c r="A419" s="10" t="n">
        <v>2002</v>
      </c>
      <c r="B419" s="10" t="inlineStr">
        <is>
          <t>Blog</t>
        </is>
      </c>
      <c r="C419" s="10" t="inlineStr">
        <is>
          <t>Simon Willison's weblog</t>
        </is>
      </c>
      <c r="D419" s="11" t="inlineStr">
        <is>
          <t>https://simonwillison.net</t>
        </is>
      </c>
      <c r="E419" s="10" t="inlineStr">
        <is>
          <t>Deep technical blogs</t>
        </is>
      </c>
      <c r="F419" s="10" t="inlineStr">
        <is>
          <t>17. Keep Learning: Curated Resources</t>
        </is>
      </c>
      <c r="G419" s="10" t="n">
        <v>2017</v>
      </c>
      <c r="H419" s="10" t="inlineStr">
        <is>
          <t>Beginner</t>
        </is>
      </c>
      <c r="I419" s="10" t="inlineStr">
        <is>
          <t>Active in 2026</t>
        </is>
      </c>
    </row>
    <row r="420">
      <c r="A420" s="10" t="n">
        <v>2023</v>
      </c>
      <c r="B420" s="10" t="inlineStr">
        <is>
          <t>Blog</t>
        </is>
      </c>
      <c r="C420" s="10" t="inlineStr">
        <is>
          <t>Latent Space</t>
        </is>
      </c>
      <c r="D420" s="11" t="inlineStr">
        <is>
          <t>https://www.latent.space</t>
        </is>
      </c>
      <c r="E420" s="10" t="inlineStr">
        <is>
          <t>Deep technical blogs</t>
        </is>
      </c>
      <c r="F420" s="10" t="inlineStr">
        <is>
          <t>17. Keep Learning: Curated Resources</t>
        </is>
      </c>
      <c r="G420" s="10" t="n">
        <v>2017</v>
      </c>
      <c r="H420" s="10" t="inlineStr">
        <is>
          <t>Beginner</t>
        </is>
      </c>
      <c r="I420" s="10" t="inlineStr">
        <is>
          <t>Active in 2026</t>
        </is>
      </c>
    </row>
    <row r="421">
      <c r="A421" s="10" t="n">
        <v>2024</v>
      </c>
      <c r="B421" s="10" t="inlineStr">
        <is>
          <t>Blog</t>
        </is>
      </c>
      <c r="C421" s="10" t="inlineStr">
        <is>
          <t>Anthropic Engineering</t>
        </is>
      </c>
      <c r="D421" s="11" t="inlineStr">
        <is>
          <t>https://www.anthropic.com/engineering</t>
        </is>
      </c>
      <c r="E421" s="10" t="inlineStr">
        <is>
          <t>Deep technical blogs</t>
        </is>
      </c>
      <c r="F421" s="10" t="inlineStr">
        <is>
          <t>17. Keep Learning: Curated Resources</t>
        </is>
      </c>
      <c r="G421" s="10" t="n">
        <v>2017</v>
      </c>
      <c r="H421" s="10" t="inlineStr">
        <is>
          <t>Beginner</t>
        </is>
      </c>
      <c r="I421" s="10" t="inlineStr">
        <is>
          <t>Active in 2026</t>
        </is>
      </c>
    </row>
    <row r="422">
      <c r="A422" s="10" t="n">
        <v>2022</v>
      </c>
      <c r="B422" s="10" t="inlineStr">
        <is>
          <t>Docs</t>
        </is>
      </c>
      <c r="C422" s="10" t="inlineStr">
        <is>
          <t>Karpathy: Neural Networks Zero to Hero</t>
        </is>
      </c>
      <c r="D422" s="11" t="inlineStr">
        <is>
          <t>https://karpathy.ai/zero-to-hero.html</t>
        </is>
      </c>
      <c r="E422" s="10" t="inlineStr">
        <is>
          <t>Courses</t>
        </is>
      </c>
      <c r="F422" s="10" t="inlineStr">
        <is>
          <t>17. Keep Learning: Curated Resources</t>
        </is>
      </c>
      <c r="G422" s="10" t="n">
        <v>2022</v>
      </c>
      <c r="H422" s="10" t="inlineStr">
        <is>
          <t>Beginner</t>
        </is>
      </c>
      <c r="I422" s="10" t="inlineStr">
        <is>
          <t>Active in 2026</t>
        </is>
      </c>
    </row>
    <row r="423">
      <c r="A423" s="10" t="n">
        <v>2025</v>
      </c>
      <c r="B423" s="10" t="inlineStr">
        <is>
          <t>Docs</t>
        </is>
      </c>
      <c r="C423" s="10" t="inlineStr">
        <is>
          <t>Stanford CS336</t>
        </is>
      </c>
      <c r="D423" s="11" t="inlineStr">
        <is>
          <t>https://stanford-cs336.github.io</t>
        </is>
      </c>
      <c r="E423" s="10" t="inlineStr">
        <is>
          <t>Courses</t>
        </is>
      </c>
      <c r="F423" s="10" t="inlineStr">
        <is>
          <t>17. Keep Learning: Curated Resources</t>
        </is>
      </c>
      <c r="G423" s="10" t="n">
        <v>2022</v>
      </c>
      <c r="H423" s="10" t="inlineStr">
        <is>
          <t>Beginner</t>
        </is>
      </c>
      <c r="I423" s="10" t="inlineStr">
        <is>
          <t>Active in 2026</t>
        </is>
      </c>
    </row>
    <row r="424">
      <c r="A424" s="10" t="n">
        <v>2023</v>
      </c>
      <c r="B424" s="10" t="inlineStr">
        <is>
          <t>Docs</t>
        </is>
      </c>
      <c r="C424" s="10" t="inlineStr">
        <is>
          <t>Hugging Face LLM course</t>
        </is>
      </c>
      <c r="D424" s="11" t="inlineStr">
        <is>
          <t>https://huggingface.co/learn/llm-course</t>
        </is>
      </c>
      <c r="E424" s="10" t="inlineStr">
        <is>
          <t>Courses</t>
        </is>
      </c>
      <c r="F424" s="10" t="inlineStr">
        <is>
          <t>17. Keep Learning: Curated Resources</t>
        </is>
      </c>
      <c r="G424" s="10" t="n">
        <v>2022</v>
      </c>
      <c r="H424" s="10" t="inlineStr">
        <is>
          <t>Beginner</t>
        </is>
      </c>
      <c r="I424" s="10" t="inlineStr">
        <is>
          <t>Active in 2026</t>
        </is>
      </c>
    </row>
    <row r="425">
      <c r="A425" s="10" t="n">
        <v>2026</v>
      </c>
      <c r="B425" s="10" t="inlineStr">
        <is>
          <t>Docs</t>
        </is>
      </c>
      <c r="C425" s="10" t="inlineStr">
        <is>
          <t>RLHF Book course</t>
        </is>
      </c>
      <c r="D425" s="11" t="inlineStr">
        <is>
          <t>https://rlhfbook.com/teach/course/conversation-01/</t>
        </is>
      </c>
      <c r="E425" s="10" t="inlineStr">
        <is>
          <t>Courses</t>
        </is>
      </c>
      <c r="F425" s="10" t="inlineStr">
        <is>
          <t>17. Keep Learning: Curated Resources</t>
        </is>
      </c>
      <c r="G425" s="10" t="n">
        <v>2022</v>
      </c>
      <c r="H425" s="10" t="inlineStr">
        <is>
          <t>Beginner</t>
        </is>
      </c>
      <c r="I425" s="10" t="inlineStr">
        <is>
          <t>Active in 2026</t>
        </is>
      </c>
    </row>
    <row r="426">
      <c r="A426" s="10" t="n">
        <v>2018</v>
      </c>
      <c r="B426" s="10" t="inlineStr">
        <is>
          <t>Docs</t>
        </is>
      </c>
      <c r="C426" s="10" t="inlineStr">
        <is>
          <t>State of AI Report</t>
        </is>
      </c>
      <c r="D426" s="11" t="inlineStr">
        <is>
          <t>https://www.stateof.ai</t>
        </is>
      </c>
      <c r="E426" s="10" t="inlineStr">
        <is>
          <t>Annual reports and data</t>
        </is>
      </c>
      <c r="F426" s="10" t="inlineStr">
        <is>
          <t>17. Keep Learning: Curated Resources</t>
        </is>
      </c>
      <c r="G426" s="10" t="n">
        <v>2017</v>
      </c>
      <c r="H426" s="10" t="inlineStr">
        <is>
          <t>Beginner</t>
        </is>
      </c>
      <c r="I426" s="10" t="inlineStr">
        <is>
          <t>Active in 2026</t>
        </is>
      </c>
    </row>
    <row r="427">
      <c r="A427" s="10" t="n">
        <v>2017</v>
      </c>
      <c r="B427" s="10" t="inlineStr">
        <is>
          <t>Docs</t>
        </is>
      </c>
      <c r="C427" s="10" t="inlineStr">
        <is>
          <t>Stanford AI Index</t>
        </is>
      </c>
      <c r="D427" s="11" t="inlineStr">
        <is>
          <t>https://hai.stanford.edu/ai-index</t>
        </is>
      </c>
      <c r="E427" s="10" t="inlineStr">
        <is>
          <t>Annual reports and data</t>
        </is>
      </c>
      <c r="F427" s="10" t="inlineStr">
        <is>
          <t>17. Keep Learning: Curated Resources</t>
        </is>
      </c>
      <c r="G427" s="10" t="n">
        <v>2017</v>
      </c>
      <c r="H427" s="10" t="inlineStr">
        <is>
          <t>Beginner</t>
        </is>
      </c>
      <c r="I427" s="10" t="inlineStr">
        <is>
          <t>Active in 2026</t>
        </is>
      </c>
    </row>
    <row r="428">
      <c r="A428" s="10" t="n">
        <v>2022</v>
      </c>
      <c r="B428" s="10" t="inlineStr">
        <is>
          <t>Docs</t>
        </is>
      </c>
      <c r="C428" s="10" t="inlineStr">
        <is>
          <t>Epoch AI</t>
        </is>
      </c>
      <c r="D428" s="11" t="inlineStr">
        <is>
          <t>https://epoch.ai</t>
        </is>
      </c>
      <c r="E428" s="10" t="inlineStr">
        <is>
          <t>Annual reports and data</t>
        </is>
      </c>
      <c r="F428" s="10" t="inlineStr">
        <is>
          <t>17. Keep Learning: Curated Resources</t>
        </is>
      </c>
      <c r="G428" s="10" t="n">
        <v>2017</v>
      </c>
      <c r="H428" s="10" t="inlineStr">
        <is>
          <t>Beginner</t>
        </is>
      </c>
      <c r="I428" s="10" t="inlineStr">
        <is>
          <t>Active in 2026</t>
        </is>
      </c>
    </row>
    <row r="429">
      <c r="A429" s="10" t="n">
        <v>2026</v>
      </c>
      <c r="B429" s="10" t="inlineStr">
        <is>
          <t>GitHub</t>
        </is>
      </c>
      <c r="C429" s="10" t="inlineStr">
        <is>
          <t>awesome-harness-engineering</t>
        </is>
      </c>
      <c r="D429" s="11" t="inlineStr">
        <is>
          <t>https://github.com/ai-boost/awesome-harness-engineering</t>
        </is>
      </c>
      <c r="E429" s="10" t="inlineStr">
        <is>
          <t>Curated lists</t>
        </is>
      </c>
      <c r="F429" s="10" t="inlineStr">
        <is>
          <t>17. Keep Learning: Curated Resources</t>
        </is>
      </c>
      <c r="G429" s="10" t="n">
        <v>2024</v>
      </c>
      <c r="H429" s="10" t="inlineStr">
        <is>
          <t>Beginner</t>
        </is>
      </c>
      <c r="I429" s="10" t="inlineStr">
        <is>
          <t>Active in 2026</t>
        </is>
      </c>
    </row>
    <row r="430">
      <c r="A430" s="10" t="n">
        <v>2026</v>
      </c>
      <c r="B430" s="10" t="inlineStr">
        <is>
          <t>GitHub</t>
        </is>
      </c>
      <c r="C430" s="10" t="inlineStr">
        <is>
          <t>awesome-agent-harness</t>
        </is>
      </c>
      <c r="D430" s="11" t="inlineStr">
        <is>
          <t>https://github.com/AutoJunjie/awesome-agent-harness</t>
        </is>
      </c>
      <c r="E430" s="10" t="inlineStr">
        <is>
          <t>Curated lists</t>
        </is>
      </c>
      <c r="F430" s="10" t="inlineStr">
        <is>
          <t>17. Keep Learning: Curated Resources</t>
        </is>
      </c>
      <c r="G430" s="10" t="n">
        <v>2024</v>
      </c>
      <c r="H430" s="10" t="inlineStr">
        <is>
          <t>Beginner</t>
        </is>
      </c>
      <c r="I430" s="10" t="inlineStr">
        <is>
          <t>Active in 2026</t>
        </is>
      </c>
    </row>
    <row r="431">
      <c r="A431" s="10" t="n">
        <v>2024</v>
      </c>
      <c r="B431" s="10" t="inlineStr">
        <is>
          <t>GitHub</t>
        </is>
      </c>
      <c r="C431" s="10" t="inlineStr">
        <is>
          <t>MCP servers</t>
        </is>
      </c>
      <c r="D431" s="11" t="inlineStr">
        <is>
          <t>https://github.com/modelcontextprotocol/servers</t>
        </is>
      </c>
      <c r="E431" s="10" t="inlineStr">
        <is>
          <t>Curated lists</t>
        </is>
      </c>
      <c r="F431" s="10" t="inlineStr">
        <is>
          <t>17. Keep Learning: Curated Resources</t>
        </is>
      </c>
      <c r="G431" s="10" t="n">
        <v>2024</v>
      </c>
      <c r="H431" s="10" t="inlineStr">
        <is>
          <t>Beginner</t>
        </is>
      </c>
      <c r="I431" s="10" t="inlineStr">
        <is>
          <t>Active in 2026</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s>
  <pageMargins left="0.75" right="0.75" top="1" bottom="1" header="0.5" footer="0.5"/>
  <tableParts count="1">
    <tablePart xmlns:r="http://schemas.openxmlformats.org/officeDocument/2006/relationships" r:id="rId43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2026-09-20T08:34:59Z</dcterms:created>
  <dcterms:modified xmlns:dcterms="http://purl.org/dc/terms/" xmlns:xsi="http://www.w3.org/2001/XMLSchema-instance" xsi:type="dcterms:W3CDTF">2026-09-20T08:34:59Z</dcterms:modified>
</cp:coreProperties>
</file>